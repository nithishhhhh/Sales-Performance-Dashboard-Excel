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hidePivotFieldList="1"/>
  <mc:AlternateContent xmlns:mc="http://schemas.openxmlformats.org/markup-compatibility/2006">
    <mc:Choice Requires="x15">
      <x15ac:absPath xmlns:x15ac="http://schemas.microsoft.com/office/spreadsheetml/2010/11/ac" url="https://d.docs.live.net/8fe2a72835d07ecd/Documents/"/>
    </mc:Choice>
  </mc:AlternateContent>
  <xr:revisionPtr revIDLastSave="1232" documentId="8_{7C436F63-F549-4711-921A-F6351722C7F9}" xr6:coauthVersionLast="47" xr6:coauthVersionMax="47" xr10:uidLastSave="{9C6EB58F-BEFE-40BD-BF02-FDBED86B99B9}"/>
  <bookViews>
    <workbookView xWindow="-108" yWindow="-108" windowWidth="23256" windowHeight="12456" activeTab="2" xr2:uid="{2AD94A38-112D-4B44-897D-77739758B96E}"/>
  </bookViews>
  <sheets>
    <sheet name="Orders" sheetId="1" r:id="rId1"/>
    <sheet name="PIVOT_TABLE" sheetId="2" r:id="rId2"/>
    <sheet name="Build Dashboard Layout" sheetId="8" r:id="rId3"/>
  </sheets>
  <definedNames>
    <definedName name="_xlnm._FilterDatabase" localSheetId="0" hidden="1">Orders!$A$1:$U$157</definedName>
    <definedName name="_xlchart.v1.0" hidden="1">Orders!$U$2:$U$121</definedName>
    <definedName name="_xleta.SUM" hidden="1" xlm="1">#NAME?</definedName>
    <definedName name="Slicer_Region">#N/A</definedName>
    <definedName name="Slicer_Region1">#N/A</definedName>
    <definedName name="Slicer_Segment">#N/A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7" i="8" l="1"/>
  <c r="U123" i="1"/>
  <c r="V7" i="8"/>
  <c r="R8" i="8"/>
  <c r="G7" i="8"/>
  <c r="B7" i="8"/>
  <c r="R123" i="1"/>
</calcChain>
</file>

<file path=xl/sharedStrings.xml><?xml version="1.0" encoding="utf-8"?>
<sst xmlns="http://schemas.openxmlformats.org/spreadsheetml/2006/main" count="1682" uniqueCount="540">
  <si>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</si>
  <si>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</si>
  <si>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</si>
  <si>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</si>
  <si>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</si>
  <si>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</si>
  <si>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</si>
  <si>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</si>
  <si>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</si>
  <si>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</si>
  <si>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</si>
  <si>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</si>
  <si>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</si>
  <si>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</si>
  <si>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</si>
  <si>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</si>
  <si>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Darrin Van Huff</t>
  </si>
  <si>
    <t>Corporate</t>
  </si>
  <si>
    <t>Los Angeles</t>
  </si>
  <si>
    <t>California</t>
  </si>
  <si>
    <t>West</t>
  </si>
  <si>
    <t>Office Supplies</t>
  </si>
  <si>
    <t>Labels</t>
  </si>
  <si>
    <t>Standard Class</t>
  </si>
  <si>
    <t>Sean O'Donnell</t>
  </si>
  <si>
    <t>Fort Lauderdale</t>
  </si>
  <si>
    <t>Florida</t>
  </si>
  <si>
    <t>Tables</t>
  </si>
  <si>
    <t>Brosina Hoffman</t>
  </si>
  <si>
    <t>Technology</t>
  </si>
  <si>
    <t>Appliances</t>
  </si>
  <si>
    <t>Andrew Allen</t>
  </si>
  <si>
    <t>Concord</t>
  </si>
  <si>
    <t>North Carolina</t>
  </si>
  <si>
    <t>Paper</t>
  </si>
  <si>
    <t>Irene Maddox</t>
  </si>
  <si>
    <t>Seattle</t>
  </si>
  <si>
    <t>Washington</t>
  </si>
  <si>
    <t>Harold Pawlan</t>
  </si>
  <si>
    <t>Home Office</t>
  </si>
  <si>
    <t>Fort Worth</t>
  </si>
  <si>
    <t>Texas</t>
  </si>
  <si>
    <t>Central</t>
  </si>
  <si>
    <t>DXL Angle-View Binders with Locking Rings by Samsill</t>
  </si>
  <si>
    <t>Pete Kriz</t>
  </si>
  <si>
    <t>Madison</t>
  </si>
  <si>
    <t>Wisconsin</t>
  </si>
  <si>
    <t>Alejandro Grove</t>
  </si>
  <si>
    <t>West Jordan</t>
  </si>
  <si>
    <t>Utah</t>
  </si>
  <si>
    <t>Zuschuss Donatelli</t>
  </si>
  <si>
    <t>San Francisco</t>
  </si>
  <si>
    <t>Ken Black</t>
  </si>
  <si>
    <t>Fremont</t>
  </si>
  <si>
    <t>Nebraska</t>
  </si>
  <si>
    <t>Sandra Flanagan</t>
  </si>
  <si>
    <t>Philadelphia</t>
  </si>
  <si>
    <t>Pennsylvania</t>
  </si>
  <si>
    <t>East</t>
  </si>
  <si>
    <t>Emily Burns</t>
  </si>
  <si>
    <t>Orem</t>
  </si>
  <si>
    <t>Eric Hoffmann</t>
  </si>
  <si>
    <t>Tracy Blumstein</t>
  </si>
  <si>
    <t>Riverside Palais Royal Lawyers Bookcase, Royale Cherry Finish</t>
  </si>
  <si>
    <t>Matt Abelman</t>
  </si>
  <si>
    <t>Houston</t>
  </si>
  <si>
    <t>First Class</t>
  </si>
  <si>
    <t>Gene Hale</t>
  </si>
  <si>
    <t>Richardson</t>
  </si>
  <si>
    <t>Steve Nguyen</t>
  </si>
  <si>
    <t>Envelopes</t>
  </si>
  <si>
    <t>Atlantic Metals Mobile 3-Shelf Bookcases, Custom Colors</t>
  </si>
  <si>
    <t>Linda Cazamias</t>
  </si>
  <si>
    <t>Naperville</t>
  </si>
  <si>
    <t>Illinois</t>
  </si>
  <si>
    <t>Ruben Ausman</t>
  </si>
  <si>
    <t>Erin Smith</t>
  </si>
  <si>
    <t>Melbourne</t>
  </si>
  <si>
    <t>Odella Nelson</t>
  </si>
  <si>
    <t>Eagan</t>
  </si>
  <si>
    <t>Minnesota</t>
  </si>
  <si>
    <t>Patrick O'Donnell</t>
  </si>
  <si>
    <t>Westland</t>
  </si>
  <si>
    <t>Michigan</t>
  </si>
  <si>
    <t>Lena Hernandez</t>
  </si>
  <si>
    <t>Dover</t>
  </si>
  <si>
    <t>Delaware</t>
  </si>
  <si>
    <t>Darren Powers</t>
  </si>
  <si>
    <t>New Albany</t>
  </si>
  <si>
    <t>Indiana</t>
  </si>
  <si>
    <t>Janet Molinari</t>
  </si>
  <si>
    <t>New York City</t>
  </si>
  <si>
    <t>New York</t>
  </si>
  <si>
    <t>Ted Butterfield</t>
  </si>
  <si>
    <t>Troy</t>
  </si>
  <si>
    <t>Novimex Swivel Fabric Task Chair</t>
  </si>
  <si>
    <t>Kunst Miller</t>
  </si>
  <si>
    <t>Paul Stevenson</t>
  </si>
  <si>
    <t>Chicago</t>
  </si>
  <si>
    <t>Brendan Sweed</t>
  </si>
  <si>
    <t>Gilbert</t>
  </si>
  <si>
    <t>Arizona</t>
  </si>
  <si>
    <t>Karen Daniels</t>
  </si>
  <si>
    <t>Springfield</t>
  </si>
  <si>
    <t>Virginia</t>
  </si>
  <si>
    <t>Henry MacAllister</t>
  </si>
  <si>
    <t>Acco PRESSTEX Data Binder with Storage Hooks, Dark Blue, 14 7/8" X 11"</t>
  </si>
  <si>
    <t>Jackson</t>
  </si>
  <si>
    <t>Joel Eaton</t>
  </si>
  <si>
    <t>Memphis</t>
  </si>
  <si>
    <t>Tennessee</t>
  </si>
  <si>
    <t>High-Back Leather Manager's Chair</t>
  </si>
  <si>
    <t>Ken Brennan</t>
  </si>
  <si>
    <t>Stewart Carmichael</t>
  </si>
  <si>
    <t>Decatur</t>
  </si>
  <si>
    <t>Alabama</t>
  </si>
  <si>
    <t>Duane Noonan</t>
  </si>
  <si>
    <t>Julie Creighton</t>
  </si>
  <si>
    <t>Durham</t>
  </si>
  <si>
    <t>Poly String Tie Envelopes</t>
  </si>
  <si>
    <t>Christopher Schild</t>
  </si>
  <si>
    <t>Columbia</t>
  </si>
  <si>
    <t>South Carolina</t>
  </si>
  <si>
    <t>Paul Gonzalez</t>
  </si>
  <si>
    <t>Rochester</t>
  </si>
  <si>
    <t>Gary Mitchum</t>
  </si>
  <si>
    <t>Jim Sink</t>
  </si>
  <si>
    <t>Karl Braun</t>
  </si>
  <si>
    <t>Minneapolis</t>
  </si>
  <si>
    <t>Roger Barcio</t>
  </si>
  <si>
    <t>Portland</t>
  </si>
  <si>
    <t>Oregon</t>
  </si>
  <si>
    <t>Parhena Norris</t>
  </si>
  <si>
    <t>Katherine Ducich</t>
  </si>
  <si>
    <t>Elpida Rittenbach</t>
  </si>
  <si>
    <t>Saint Paul</t>
  </si>
  <si>
    <t>Rick Bensley</t>
  </si>
  <si>
    <t>Imation 8gb Micro Traveldrive Usb 2.0 Flash Drive</t>
  </si>
  <si>
    <t>Gary Zandusky</t>
  </si>
  <si>
    <t>Lena Cacioppo</t>
  </si>
  <si>
    <t>Aurora</t>
  </si>
  <si>
    <t>Colorado</t>
  </si>
  <si>
    <t>Janet Martin</t>
  </si>
  <si>
    <t>Charlotte</t>
  </si>
  <si>
    <t>Pete Armstrong</t>
  </si>
  <si>
    <t>Orland Park</t>
  </si>
  <si>
    <t>Cynthia Voltz</t>
  </si>
  <si>
    <t>Clay Ludtke</t>
  </si>
  <si>
    <t>Urbandale</t>
  </si>
  <si>
    <t>Iowa</t>
  </si>
  <si>
    <t>Ryan Crowe</t>
  </si>
  <si>
    <t>Columbus</t>
  </si>
  <si>
    <t>Ohio</t>
  </si>
  <si>
    <t>Dave Kipp</t>
  </si>
  <si>
    <t>Greg Guthrie</t>
  </si>
  <si>
    <t>Bristol</t>
  </si>
  <si>
    <t>Fellowes PB200 Plastic Comb Binding Machine</t>
  </si>
  <si>
    <t>Steven Cartwright</t>
  </si>
  <si>
    <t>Wilmington</t>
  </si>
  <si>
    <t>Sortfiler Multipurpose Personal File Organizer, Black</t>
  </si>
  <si>
    <t>1.7 Cubic Foot Compact "Cube" Office Refrigerators</t>
  </si>
  <si>
    <t>Seth Thomas 13 1/2" Wall Clock</t>
  </si>
  <si>
    <t>SimpliFile Personal File, Black Granite, 15w x 6-15/16d x 11-1/4h</t>
  </si>
  <si>
    <t>Prang Dustless Chalk Sticks</t>
  </si>
  <si>
    <t>Global Value Mid-Back Manager's Chair, Gray</t>
  </si>
  <si>
    <t>Logitech Gaming G510s - Keyboard</t>
  </si>
  <si>
    <t>Hunt BOSTON Model 1606 High-Volume Electric Pencil Sharpener, Beige</t>
  </si>
  <si>
    <t>Bretford CR4500 Series Slim Rectangular Table</t>
  </si>
  <si>
    <t>Luxo Economy Swing Arm Lamp</t>
  </si>
  <si>
    <t>Hon Racetrack Conference Tables</t>
  </si>
  <si>
    <t>Newell 318</t>
  </si>
  <si>
    <t>Avery 485</t>
  </si>
  <si>
    <t>Safco Industrial Wire Shelving</t>
  </si>
  <si>
    <t>Tenex Traditional Chairmats for Medium Pile Carpet, Standard Lip, 36" x 48"</t>
  </si>
  <si>
    <t>Global Deluxe Stacking Chair, Gray</t>
  </si>
  <si>
    <t>Gould Plastics 9-Pocket Panel Bin, 18-3/8w x 5-1/4d x 20-1/2h, Black</t>
  </si>
  <si>
    <t>Global Fabric Manager's Chair, Dark Gray</t>
  </si>
  <si>
    <t>Trimflex Flexible Post Binders</t>
  </si>
  <si>
    <t>Home/Office Personal File Carts</t>
  </si>
  <si>
    <t>Stur-D-Stor Shelving, Vertical 5-Shelf: 72"H x 36"W x 18 1/2"D</t>
  </si>
  <si>
    <t>Flexible Leather- Look Classic Collection Ring Binder</t>
  </si>
  <si>
    <t>Economy Binders</t>
  </si>
  <si>
    <t>SanDisk Ultra 64 GB MicroSDHC Class 10 Memory Card</t>
  </si>
  <si>
    <t>Panasonic Kx-TS550</t>
  </si>
  <si>
    <t>Eldon Portable Mobile Manager</t>
  </si>
  <si>
    <t>Belkin F5C206VTEL 6 Outlet Surge</t>
  </si>
  <si>
    <t>Turquoise Lead Holder with Pocket Clip</t>
  </si>
  <si>
    <t>Speck Products Candyshell Flip Case</t>
  </si>
  <si>
    <t>Ibico Standard Transparent Covers</t>
  </si>
  <si>
    <t>Advantus 10-Drawer Portable Organizer, Chrome Metal Frame, Smoke Drawers</t>
  </si>
  <si>
    <t>Imation 8GB Mini TravelDrive USB 2.0 Flash Drive</t>
  </si>
  <si>
    <t>6" Cubicle Wall Clock, Black</t>
  </si>
  <si>
    <t>Avery Personal Creations Heavyweight Cards</t>
  </si>
  <si>
    <t>Xerox 1967</t>
  </si>
  <si>
    <t>Howard Miller 13-3/4" Diameter Brushed Chrome Round Wall Clock</t>
  </si>
  <si>
    <t>Wilson Jones Leather-Like Binders with DublLock Round Rings</t>
  </si>
  <si>
    <t>Electrix Architect's Clamp-On Swing Arm Lamp, Black</t>
  </si>
  <si>
    <t>Premium Writing Pencils, Soft, #2 by Central Association for the Blind</t>
  </si>
  <si>
    <t>Artistic Insta-Plaque</t>
  </si>
  <si>
    <t>OIC Colored Binder Clips, Assorted Sizes</t>
  </si>
  <si>
    <t>Wilson Jones Active Use Binders</t>
  </si>
  <si>
    <t>Mitel 5320 IP Phone VoIP phone</t>
  </si>
  <si>
    <t>Fellowes Basic Home/Office Series Surge Protectors</t>
  </si>
  <si>
    <t>LF Elite 3D Dazzle Designer Hard Case Cover, Lf Stylus Pen and Wiper For Apple Iphone 5c Mini Lite</t>
  </si>
  <si>
    <t>Xerox 1943</t>
  </si>
  <si>
    <t>Avery Binding System Hidden Tab Executive Style Index Sets</t>
  </si>
  <si>
    <t>#10-4 1/8" x 9 1/2" Premium Diagonal Seam Envelopes</t>
  </si>
  <si>
    <t>Xerox 1921</t>
  </si>
  <si>
    <t>Newell Chalk Holder</t>
  </si>
  <si>
    <t>Avery Trapezoid Ring Binder, 3" Capacity, Black, 1040 sheets</t>
  </si>
  <si>
    <t>Hunt PowerHouse Electric Pencil Sharpener, Blue</t>
  </si>
  <si>
    <t>Avery Heavy-Duty EZD  Binder With Locking Rings</t>
  </si>
  <si>
    <t>Wilson Jones Hanging View Binder, White, 1"</t>
  </si>
  <si>
    <t>AT&amp;T CL83451 4-Handset Telephone</t>
  </si>
  <si>
    <t>Global Leather Task Chair, Black</t>
  </si>
  <si>
    <t>9-3/4 Diameter Round Wall Clock</t>
  </si>
  <si>
    <t>Novimex Turbo Task Chair</t>
  </si>
  <si>
    <t>Magnifier Swing Arm Lamp</t>
  </si>
  <si>
    <t>BOSTON Model 1800 Electric Pencil Sharpeners, Putty/Woodgrain</t>
  </si>
  <si>
    <t>Redi-Strip #10 Envelopes, 4 1/8 x 9 1/2</t>
  </si>
  <si>
    <t>Acco Six-Outlet Power Strip, 4' Cord Length</t>
  </si>
  <si>
    <t>Logitech K350 2.4Ghz Wireless Keyboard</t>
  </si>
  <si>
    <t>Avery Hidden Tab Dividers for Binding Systems</t>
  </si>
  <si>
    <t>Chromcraft Rectangular Conference Tables</t>
  </si>
  <si>
    <t>Acco Pressboard Covers with Storage Hooks, 14 7/8" x 11", Executive Red</t>
  </si>
  <si>
    <t>Eldon Base for stackable storage shelf, platinum</t>
  </si>
  <si>
    <t>Fellowes Super Stor/Drawer</t>
  </si>
  <si>
    <t>Holmes Replacement Filter for HEPA Air Cleaner, Very Large Room, HEPA Filter</t>
  </si>
  <si>
    <t>GBC DocuBind 300 Electric Binding Machine</t>
  </si>
  <si>
    <t>Storex DuraTech Recycled Plastic Frosted Binders</t>
  </si>
  <si>
    <t>Logitech LS21 Speaker System - PC Multimedia - 2.1-CH - Wired</t>
  </si>
  <si>
    <t>Avery Recycled Flexi-View Covers for Binding Systems</t>
  </si>
  <si>
    <t>Eldon Fold 'N Roll Cart System</t>
  </si>
  <si>
    <t>netTALK DUO VoIP Telephone Service</t>
  </si>
  <si>
    <t>Newell 322</t>
  </si>
  <si>
    <t>Eldon Expressions Desk Accessory, Wood Pencil Holder, Oak</t>
  </si>
  <si>
    <t>Newell 341</t>
  </si>
  <si>
    <t>Konftel 250 Conference phone - Charcoal black</t>
  </si>
  <si>
    <t>Deflect-o DuraMat Lighweight, Studded, Beveled Mat for Low Pile Carpeting</t>
  </si>
  <si>
    <t>Tyvek  Top-Opening Peel &amp; Seel Envelopes, Plain White</t>
  </si>
  <si>
    <t>Avery Durable Plastic 1" Binders</t>
  </si>
  <si>
    <t>Plastic Binding Combs</t>
  </si>
  <si>
    <t>Xerox 232</t>
  </si>
  <si>
    <t>Lumber Crayons</t>
  </si>
  <si>
    <t>Telephone Message Books with Fax/Mobile Section, 5 1/2" x 3 3/16"</t>
  </si>
  <si>
    <t>Verbatim 25 GB 6x Blu-ray Single Layer Recordable Disc, 25/Pack</t>
  </si>
  <si>
    <t>Jet-Pak Recycled Peel 'N' Seal Padded Mailers</t>
  </si>
  <si>
    <t>Eldon Expressions Wood and Plastic Desk Accessories, Cherry Wood</t>
  </si>
  <si>
    <t>Longer-Life Soft White Bulbs</t>
  </si>
  <si>
    <t>Xerox 1995</t>
  </si>
  <si>
    <t>Memorex Mini Travel Drive 8 GB USB 2.0 Flash Drive</t>
  </si>
  <si>
    <t>Advantus Push Pins</t>
  </si>
  <si>
    <t>GE 30524EE4</t>
  </si>
  <si>
    <t>Cisco SPA 501G IP Phone</t>
  </si>
  <si>
    <t>Snap-A-Way Black Print Carbonless Ruled Speed Letter, Triplicate</t>
  </si>
  <si>
    <t>Plantronics HL10 Handset Lifter</t>
  </si>
  <si>
    <t>Hon Deluxe Fabric Upholstered Stacking Chairs, Rounded Back</t>
  </si>
  <si>
    <t>Universal Premium White Copier/Laser Paper (20Lb. and 87 Bright)</t>
  </si>
  <si>
    <t>Array Parchment Paper, Assorted Colors</t>
  </si>
  <si>
    <t>Safco Industrial Wire Shelving System</t>
  </si>
  <si>
    <t>Xerox 1999</t>
  </si>
  <si>
    <t>Self-Adhesive Address Labels for Typewriters by Universal</t>
  </si>
  <si>
    <t>Avery 511</t>
  </si>
  <si>
    <t>C-Line Peel &amp; Stick Add-On Filing Pockets, 8-3/4 x 5-1/8, 10/Pack</t>
  </si>
  <si>
    <t>Order ID</t>
  </si>
  <si>
    <t>Chairs</t>
  </si>
  <si>
    <t>Storage</t>
  </si>
  <si>
    <t>Furnishings</t>
  </si>
  <si>
    <t>Art</t>
  </si>
  <si>
    <t>Phones</t>
  </si>
  <si>
    <t>Binders</t>
  </si>
  <si>
    <t>Accessories</t>
  </si>
  <si>
    <t>Fasteners</t>
  </si>
  <si>
    <t>Verbatim 25 GB 6x Blu-ray Single Layer Recordable Disc, 3/Pack</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</si>
  <si>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</si>
  <si>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</si>
  <si>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</si>
  <si>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</si>
  <si>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</si>
  <si>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</si>
  <si>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</si>
  <si>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</si>
  <si>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</si>
  <si>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</si>
  <si>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</si>
  <si>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</si>
  <si>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</si>
  <si>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</si>
  <si>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</si>
  <si>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</si>
  <si>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</si>
  <si>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</si>
  <si>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</si>
  <si>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</si>
  <si>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</si>
  <si>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</si>
  <si>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</si>
  <si>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</si>
  <si>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</si>
  <si>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</si>
  <si>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</si>
  <si>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</si>
  <si>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</si>
  <si>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</si>
  <si>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</si>
  <si>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</si>
  <si>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</si>
  <si>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</si>
  <si>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</si>
  <si>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</si>
  <si>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</si>
  <si>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</si>
  <si>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</si>
  <si>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</si>
  <si>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</si>
  <si>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</si>
  <si>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</si>
  <si>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</si>
  <si>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</si>
  <si>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</si>
  <si>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</si>
  <si>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</si>
  <si>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</si>
  <si>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</si>
  <si>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</si>
  <si>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</si>
  <si>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</si>
  <si>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</si>
  <si>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</si>
  <si>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</si>
  <si>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</si>
  <si>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</si>
  <si>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</si>
  <si>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Row ID</t>
  </si>
  <si>
    <t>Ship Mode</t>
  </si>
  <si>
    <t>Customer ID</t>
  </si>
  <si>
    <t>Customer Name</t>
  </si>
  <si>
    <t>Postal Code</t>
  </si>
  <si>
    <t>Product ID</t>
  </si>
  <si>
    <t>Category</t>
  </si>
  <si>
    <t>Sub-Category</t>
  </si>
  <si>
    <t>Product Name</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</si>
  <si>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</si>
  <si>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</si>
  <si>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</si>
  <si>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</si>
  <si>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</si>
  <si>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</si>
  <si>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</si>
  <si>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</si>
  <si>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</si>
  <si>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</si>
  <si>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</si>
  <si>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</si>
  <si>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</si>
  <si>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</si>
  <si>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</si>
  <si>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</si>
  <si>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</si>
  <si>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</si>
  <si>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</si>
  <si>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</si>
  <si>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</si>
  <si>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</si>
  <si>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</si>
  <si>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</si>
  <si>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</si>
  <si>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</si>
  <si>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</si>
  <si>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</si>
  <si>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</si>
  <si>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</si>
  <si>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</si>
  <si>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</si>
  <si>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</si>
  <si>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</si>
  <si>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</si>
  <si>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</si>
  <si>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</si>
  <si>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</si>
  <si>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</si>
  <si>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</si>
  <si>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</si>
  <si>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</si>
  <si>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</si>
  <si>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</si>
  <si>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</si>
  <si>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</si>
  <si>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</si>
  <si>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</si>
  <si>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</si>
  <si>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</si>
  <si>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</si>
  <si>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</si>
  <si>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</si>
  <si>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</si>
  <si>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</si>
  <si>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</si>
  <si>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</si>
  <si>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</si>
  <si>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</si>
  <si>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</si>
  <si>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</si>
  <si>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</si>
  <si>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</si>
  <si>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</si>
  <si>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</si>
  <si>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</si>
  <si>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</si>
  <si>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</si>
  <si>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</si>
  <si>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</si>
  <si>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</si>
  <si>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</si>
  <si>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</si>
  <si>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</si>
  <si>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</si>
  <si>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</si>
  <si>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</si>
  <si>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</si>
  <si>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</si>
  <si>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</si>
  <si>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</si>
  <si>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</si>
  <si>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</si>
  <si>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</si>
  <si>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</si>
  <si>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</si>
  <si>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</si>
  <si>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</si>
  <si>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</si>
  <si>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</si>
  <si>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</si>
  <si>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</si>
  <si>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</si>
  <si>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</si>
  <si>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</si>
  <si>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</si>
  <si>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</si>
  <si>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</si>
  <si>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</si>
  <si>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</si>
  <si>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</si>
  <si>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</si>
  <si>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</si>
  <si>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</si>
  <si>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</si>
  <si>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</si>
  <si>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</si>
  <si>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</si>
  <si>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</si>
  <si>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</si>
  <si>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</si>
  <si>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</si>
  <si>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</si>
  <si>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</si>
  <si>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</si>
  <si>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</si>
  <si>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</si>
  <si>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Segment</t>
  </si>
  <si>
    <t>Easy-staple paper</t>
  </si>
  <si>
    <t>CA-2014-115812</t>
  </si>
  <si>
    <t>CA-2014-105893</t>
  </si>
  <si>
    <t>CA-2014-167164</t>
  </si>
  <si>
    <t>CA-2014-143336</t>
  </si>
  <si>
    <t>CA-2014-146703</t>
  </si>
  <si>
    <t>CA-2014-106376</t>
  </si>
  <si>
    <t>US-2014-147606</t>
  </si>
  <si>
    <t>CA-2014-139451</t>
  </si>
  <si>
    <t>CA-2014-115259</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</si>
  <si>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</si>
  <si>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</si>
  <si>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</si>
  <si>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</si>
  <si>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</si>
  <si>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</si>
  <si>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</si>
  <si>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</si>
  <si>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</si>
  <si>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</si>
  <si>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</si>
  <si>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</si>
  <si>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</si>
  <si>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</si>
  <si>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</si>
  <si>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</si>
  <si>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</si>
  <si>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</si>
  <si>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</si>
  <si>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</si>
  <si>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</si>
  <si>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</si>
  <si>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</si>
  <si>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</si>
  <si>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</si>
  <si>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</si>
  <si>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</si>
  <si>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</si>
  <si>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</si>
  <si>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</si>
  <si>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</si>
  <si>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</si>
  <si>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</si>
  <si>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</si>
  <si>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</si>
  <si>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</si>
  <si>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</si>
  <si>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</si>
  <si>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</si>
  <si>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</si>
  <si>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</si>
  <si>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</si>
  <si>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</si>
  <si>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</si>
  <si>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</si>
  <si>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</si>
  <si>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</si>
  <si>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</si>
  <si>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</si>
  <si>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</si>
  <si>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</si>
  <si>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Order Date</t>
  </si>
  <si>
    <t>Ship Date</t>
  </si>
  <si>
    <t>Grand Total</t>
  </si>
  <si>
    <t>Sum of Sales</t>
  </si>
  <si>
    <t>Total</t>
  </si>
  <si>
    <t>Q1</t>
  </si>
  <si>
    <t>Sum of Profit</t>
  </si>
  <si>
    <t>Q2</t>
  </si>
  <si>
    <t>Q4</t>
  </si>
  <si>
    <t>Q3</t>
  </si>
  <si>
    <t>Q5</t>
  </si>
  <si>
    <t>Q6</t>
  </si>
  <si>
    <t>Row Labels</t>
  </si>
  <si>
    <t>Total Sales</t>
  </si>
  <si>
    <t>Total Profit</t>
  </si>
  <si>
    <t>Total Quantity</t>
  </si>
  <si>
    <t>Avg Order Value</t>
  </si>
  <si>
    <t>Profit Margin %</t>
  </si>
  <si>
    <t>Sales Performance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</si>
</sst>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15" x14ac:knownFonts="1">
    <font>
      <sz val="12"/>
      <color theme="1"/>
      <name val="Calibri"/>
      <family val="2"/>
      <scheme val="minor"/>
    </font>
    <font>
      <b/>
      <sz val="12"/>
      <color rgb="FF000000"/>
      <name val="Calibri"/>
      <family val="2"/>
      <scheme val="minor"/>
    </font>
    <font>
      <b/>
      <sz val="12"/>
      <color theme="1"/>
      <name val="Calibri"/>
      <family val="2"/>
      <scheme val="minor"/>
    </font>
    <font>
      <sz val="12"/>
      <color theme="1"/>
      <name val="Calibri"/>
      <family val="2"/>
      <scheme val="minor"/>
    </font>
    <font>
      <sz val="8"/>
      <name val="Calibri"/>
      <family val="2"/>
      <scheme val="minor"/>
    </font>
    <font>
      <b/>
      <sz val="16"/>
      <color theme="0"/>
      <name val="Calibri"/>
      <family val="2"/>
      <scheme val="minor"/>
    </font>
    <font>
      <b/>
      <sz val="22"/>
      <color rgb="FF00B050"/>
      <name val="Calibri"/>
      <family val="2"/>
      <scheme val="minor"/>
    </font>
    <font>
      <b/>
      <sz val="18"/>
      <color theme="1"/>
      <name val="Arial Black"/>
      <family val="2"/>
    </font>
    <font>
      <sz val="14"/>
      <color theme="1"/>
      <name val="Calibri"/>
      <family val="2"/>
      <scheme val="minor"/>
    </font>
    <font>
      <b/>
      <sz val="20"/>
      <color theme="1"/>
      <name val="Calibri"/>
      <family val="2"/>
      <scheme val="minor"/>
    </font>
    <font>
      <b/>
      <sz val="24"/>
      <color theme="1"/>
      <name val="Aptos"/>
      <family val="2"/>
    </font>
    <font>
      <b/>
      <sz val="22"/>
      <color theme="1"/>
      <name val="Calibri"/>
      <family val="2"/>
      <scheme val="minor"/>
    </font>
    <font>
      <b/>
      <sz val="26"/>
      <color theme="1"/>
      <name val="Eras Demi ITC"/>
      <family val="2"/>
    </font>
    <font>
      <sz val="36"/>
      <color theme="0" tint="-4.9989318521683403E-2"/>
      <name val="Trade Gothic Next HvyCd"/>
      <family val="2"/>
    </font>
    <font>
      <b/>
      <sz val="24"/>
      <color theme="0"/>
      <name val="Aptos ExtraBold"/>
      <family val="2"/>
    </font>
  </fonts>
  <fills count="10">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2060"/>
        <bgColor indexed="64"/>
      </patternFill>
    </fill>
    <fill>
      <patternFill patternType="solid">
        <fgColor theme="1" tint="4.9989318521683403E-2"/>
        <bgColor indexed="64"/>
      </patternFill>
    </fill>
  </fills>
  <borders count="7">
    <border>
      <left/>
      <right/>
      <top/>
      <bottom/>
      <diagonal/>
    </border>
    <border>
      <left style="thin">
        <color rgb="FFABABAB"/>
      </left>
      <right/>
      <top style="thin">
        <color rgb="FFABABAB"/>
      </top>
      <bottom/>
      <diagonal/>
    </border>
    <border>
      <left style="thin">
        <color rgb="FFABABAB"/>
      </left>
      <right/>
      <top/>
      <bottom/>
      <diagonal/>
    </border>
    <border>
      <left style="thin">
        <color rgb="FFABABAB"/>
      </left>
      <right/>
      <top style="thin">
        <color rgb="FFABABAB"/>
      </top>
      <bottom style="thin">
        <color rgb="FFABABAB"/>
      </bottom>
      <diagonal/>
    </border>
    <border>
      <left style="thin">
        <color rgb="FFABABAB"/>
      </left>
      <right style="thin">
        <color rgb="FFABABAB"/>
      </right>
      <top style="thin">
        <color rgb="FFABABAB"/>
      </top>
      <bottom/>
      <diagonal/>
    </border>
    <border>
      <left style="thin">
        <color rgb="FFABABAB"/>
      </left>
      <right style="thin">
        <color rgb="FFABABAB"/>
      </right>
      <top/>
      <bottom/>
      <diagonal/>
    </border>
    <border>
      <left style="thin">
        <color rgb="FFABABAB"/>
      </left>
      <right style="thin">
        <color rgb="FFABABAB"/>
      </right>
      <top style="thin">
        <color rgb="FFABABAB"/>
      </top>
      <bottom style="thin">
        <color rgb="FFABABAB"/>
      </bottom>
      <diagonal/>
    </border>
  </borders>
  <cellStyleXfs count="2">
    <xf numFmtId="0" fontId="0" fillId="0" borderId="0"/>
    <xf numFmtId="9" fontId="3" fillId="0" borderId="0" applyFont="0" applyFill="0" applyBorder="0" applyAlignment="0" applyProtection="0"/>
  </cellStyleXfs>
  <cellXfs count="32">
    <xf numFmtId="0" fontId="0" fillId="0" borderId="0" xfId="0"/>
    <xf numFmtId="14" fontId="0" fillId="0" borderId="0" xfId="0" applyNumberFormat="1"/>
    <xf numFmtId="0" fontId="1" fillId="2" borderId="0" xfId="0" applyFont="1" applyFill="1"/>
    <xf numFmtId="0" fontId="2" fillId="2" borderId="0" xfId="0" applyFont="1" applyFill="1"/>
    <xf numFmtId="0" fontId="0" fillId="0" borderId="1" xfId="0" applyBorder="1"/>
    <xf numFmtId="0" fontId="0" fillId="0" borderId="1" xfId="0" pivotButton="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0" xfId="0" pivotButton="1"/>
    <xf numFmtId="0" fontId="0" fillId="0" borderId="0" xfId="0" applyAlignment="1">
      <alignment horizontal="left"/>
    </xf>
    <xf numFmtId="14" fontId="1" fillId="2" borderId="0" xfId="0" applyNumberFormat="1" applyFont="1" applyFill="1"/>
    <xf numFmtId="0" fontId="5" fillId="5" borderId="0" xfId="0" applyFont="1" applyFill="1" applyAlignment="1">
      <alignment horizontal="center"/>
    </xf>
    <xf numFmtId="0" fontId="6" fillId="5" borderId="0" xfId="0" applyFont="1" applyFill="1" applyAlignment="1">
      <alignment horizontal="center"/>
    </xf>
    <xf numFmtId="0" fontId="0" fillId="0" borderId="0" xfId="0" applyFill="1"/>
    <xf numFmtId="10" fontId="7" fillId="6" borderId="0" xfId="1" applyNumberFormat="1" applyFont="1" applyFill="1" applyAlignment="1">
      <alignment horizontal="center"/>
    </xf>
    <xf numFmtId="0" fontId="0" fillId="0" borderId="4" xfId="0" applyNumberFormat="1" applyBorder="1"/>
    <xf numFmtId="0" fontId="0" fillId="0" borderId="5" xfId="0" applyNumberFormat="1" applyBorder="1"/>
    <xf numFmtId="0" fontId="0" fillId="0" borderId="6" xfId="0" applyNumberFormat="1" applyBorder="1"/>
    <xf numFmtId="0" fontId="0" fillId="0" borderId="0" xfId="0" applyNumberFormat="1"/>
    <xf numFmtId="0" fontId="0" fillId="9" borderId="0" xfId="0" applyFill="1"/>
    <xf numFmtId="0" fontId="8" fillId="0" borderId="0" xfId="0" applyFont="1"/>
    <xf numFmtId="0" fontId="9" fillId="7" borderId="0" xfId="0" applyFont="1" applyFill="1" applyAlignment="1">
      <alignment horizontal="center"/>
    </xf>
    <xf numFmtId="0" fontId="10" fillId="6" borderId="0" xfId="0" applyFont="1" applyFill="1" applyAlignment="1">
      <alignment horizontal="center"/>
    </xf>
    <xf numFmtId="0" fontId="11" fillId="6" borderId="0" xfId="0" applyFont="1" applyFill="1" applyAlignment="1">
      <alignment horizontal="center"/>
    </xf>
    <xf numFmtId="164" fontId="11" fillId="3" borderId="0" xfId="0" applyNumberFormat="1" applyFont="1" applyFill="1" applyAlignment="1">
      <alignment horizontal="center" vertical="center"/>
    </xf>
    <xf numFmtId="0" fontId="12" fillId="3" borderId="0" xfId="0" applyFont="1" applyFill="1" applyAlignment="1">
      <alignment horizontal="center"/>
    </xf>
    <xf numFmtId="0" fontId="13" fillId="9" borderId="0" xfId="0" applyFont="1" applyFill="1" applyAlignment="1">
      <alignment horizontal="center" vertical="center"/>
    </xf>
    <xf numFmtId="0" fontId="14" fillId="4" borderId="0" xfId="0" applyFont="1" applyFill="1" applyAlignment="1">
      <alignment horizontal="center" vertical="center"/>
    </xf>
    <xf numFmtId="0" fontId="14" fillId="8" borderId="0" xfId="0" applyFont="1" applyFill="1" applyAlignment="1">
      <alignment horizontal="center"/>
    </xf>
  </cellXfs>
  <cellStyles count="2">
    <cellStyle name="Normal" xfId="0" builtinId="0"/>
    <cellStyle name="Percent" xfId="1" builtinId="5"/>
  </cellStyles>
  <dxfs count="3">
    <dxf>
      <numFmt numFmtId="19" formatCode="dd/mm/yyyy"/>
    </dxf>
    <dxf>
      <numFmt numFmtId="19" formatCode="dd/mm/yyyy"/>
    </dxf>
    <dxf>
      <font>
        <b/>
        <i val="0"/>
        <strike val="0"/>
        <condense val="0"/>
        <extend val="0"/>
        <outline val="0"/>
        <shadow val="0"/>
        <u val="none"/>
        <vertAlign val="baseline"/>
        <sz val="12"/>
        <color rgb="FF000000"/>
        <name val="Calibri"/>
        <family val="2"/>
        <scheme val="minor"/>
      </font>
      <fill>
        <patternFill patternType="solid">
          <fgColor indexed="64"/>
          <bgColor rgb="FFFFFF00"/>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17/10/relationships/person" Target="persons/perso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345766505591649E-2"/>
          <c:y val="0"/>
          <c:w val="0.94929922734377303"/>
          <c:h val="0.66028334855933069"/>
        </c:manualLayout>
      </c:layout>
      <c:lineChart>
        <c:grouping val="stacked"/>
        <c:varyColors val="0"/>
        <c:ser>
          <c:idx val="0"/>
          <c:order val="0"/>
          <c:spPr>
            <a:ln w="34925" cap="rnd">
              <a:solidFill>
                <a:schemeClr val="accent1"/>
              </a:solidFill>
              <a:round/>
            </a:ln>
            <a:effectLst>
              <a:outerShdw blurRad="40000" dist="23000" dir="5400000" rotWithShape="0">
                <a:srgbClr val="000000">
                  <a:alpha val="35000"/>
                </a:srgbClr>
              </a:outerShdw>
            </a:effectLst>
          </c:spPr>
          <c:marker>
            <c:symbol val="none"/>
          </c:marker>
          <c:val>
            <c:numRef>
              <c:f>Orders!$R$2:$R$121</c:f>
              <c:numCache>
                <c:formatCode>General</c:formatCode>
                <c:ptCount val="120"/>
                <c:pt idx="0">
                  <c:v>261.95999999999998</c:v>
                </c:pt>
                <c:pt idx="1">
                  <c:v>731.93999999999994</c:v>
                </c:pt>
                <c:pt idx="2">
                  <c:v>14.62</c:v>
                </c:pt>
                <c:pt idx="3">
                  <c:v>957.57749999999999</c:v>
                </c:pt>
                <c:pt idx="4">
                  <c:v>22.368000000000002</c:v>
                </c:pt>
                <c:pt idx="5">
                  <c:v>48.86</c:v>
                </c:pt>
                <c:pt idx="6">
                  <c:v>7.28</c:v>
                </c:pt>
                <c:pt idx="7">
                  <c:v>907.15200000000004</c:v>
                </c:pt>
                <c:pt idx="8">
                  <c:v>18.504000000000001</c:v>
                </c:pt>
                <c:pt idx="9">
                  <c:v>114.9</c:v>
                </c:pt>
                <c:pt idx="10">
                  <c:v>1706.1840000000002</c:v>
                </c:pt>
                <c:pt idx="11">
                  <c:v>911.42399999999998</c:v>
                </c:pt>
                <c:pt idx="12">
                  <c:v>15.552000000000003</c:v>
                </c:pt>
                <c:pt idx="13">
                  <c:v>407.97600000000006</c:v>
                </c:pt>
                <c:pt idx="14">
                  <c:v>68.809999999999988</c:v>
                </c:pt>
                <c:pt idx="15">
                  <c:v>2.5439999999999996</c:v>
                </c:pt>
                <c:pt idx="16">
                  <c:v>665.88</c:v>
                </c:pt>
                <c:pt idx="17">
                  <c:v>55.5</c:v>
                </c:pt>
                <c:pt idx="18">
                  <c:v>8.56</c:v>
                </c:pt>
                <c:pt idx="19">
                  <c:v>213.48000000000002</c:v>
                </c:pt>
                <c:pt idx="20">
                  <c:v>22.72</c:v>
                </c:pt>
                <c:pt idx="21">
                  <c:v>19.459999999999997</c:v>
                </c:pt>
                <c:pt idx="22">
                  <c:v>60.339999999999996</c:v>
                </c:pt>
                <c:pt idx="23">
                  <c:v>71.371999999999986</c:v>
                </c:pt>
                <c:pt idx="24">
                  <c:v>1044.6299999999999</c:v>
                </c:pt>
                <c:pt idx="25">
                  <c:v>11.648000000000001</c:v>
                </c:pt>
                <c:pt idx="26">
                  <c:v>90.570000000000007</c:v>
                </c:pt>
                <c:pt idx="27">
                  <c:v>3083.4300000000003</c:v>
                </c:pt>
                <c:pt idx="28">
                  <c:v>9.6180000000000021</c:v>
                </c:pt>
                <c:pt idx="29">
                  <c:v>124.20000000000002</c:v>
                </c:pt>
                <c:pt idx="30">
                  <c:v>3.2640000000000002</c:v>
                </c:pt>
                <c:pt idx="31">
                  <c:v>86.304000000000002</c:v>
                </c:pt>
                <c:pt idx="32">
                  <c:v>6.8580000000000014</c:v>
                </c:pt>
                <c:pt idx="33">
                  <c:v>15.76</c:v>
                </c:pt>
                <c:pt idx="34">
                  <c:v>29.472000000000001</c:v>
                </c:pt>
                <c:pt idx="35">
                  <c:v>1097.5440000000003</c:v>
                </c:pt>
                <c:pt idx="36">
                  <c:v>190.92</c:v>
                </c:pt>
                <c:pt idx="37">
                  <c:v>113.328</c:v>
                </c:pt>
                <c:pt idx="38">
                  <c:v>532.39919999999995</c:v>
                </c:pt>
                <c:pt idx="39">
                  <c:v>212.05799999999999</c:v>
                </c:pt>
                <c:pt idx="40">
                  <c:v>371.16800000000001</c:v>
                </c:pt>
                <c:pt idx="41">
                  <c:v>147.16800000000001</c:v>
                </c:pt>
                <c:pt idx="42">
                  <c:v>77.88</c:v>
                </c:pt>
                <c:pt idx="43">
                  <c:v>95.616</c:v>
                </c:pt>
                <c:pt idx="44">
                  <c:v>45.98</c:v>
                </c:pt>
                <c:pt idx="45">
                  <c:v>17.46</c:v>
                </c:pt>
                <c:pt idx="46">
                  <c:v>211.96</c:v>
                </c:pt>
                <c:pt idx="47">
                  <c:v>45</c:v>
                </c:pt>
                <c:pt idx="48">
                  <c:v>21.8</c:v>
                </c:pt>
                <c:pt idx="49">
                  <c:v>38.22</c:v>
                </c:pt>
                <c:pt idx="50">
                  <c:v>75.179999999999993</c:v>
                </c:pt>
                <c:pt idx="51">
                  <c:v>6.16</c:v>
                </c:pt>
                <c:pt idx="52">
                  <c:v>89.99</c:v>
                </c:pt>
                <c:pt idx="53">
                  <c:v>15.260000000000002</c:v>
                </c:pt>
                <c:pt idx="54">
                  <c:v>1029.95</c:v>
                </c:pt>
                <c:pt idx="55">
                  <c:v>208.56</c:v>
                </c:pt>
                <c:pt idx="56">
                  <c:v>32.400000000000006</c:v>
                </c:pt>
                <c:pt idx="57">
                  <c:v>319.41000000000003</c:v>
                </c:pt>
                <c:pt idx="58">
                  <c:v>14.56</c:v>
                </c:pt>
                <c:pt idx="59">
                  <c:v>30</c:v>
                </c:pt>
                <c:pt idx="60">
                  <c:v>48.480000000000004</c:v>
                </c:pt>
                <c:pt idx="61">
                  <c:v>1.68</c:v>
                </c:pt>
                <c:pt idx="62">
                  <c:v>13.98</c:v>
                </c:pt>
                <c:pt idx="63">
                  <c:v>25.824000000000002</c:v>
                </c:pt>
                <c:pt idx="64">
                  <c:v>146.72999999999999</c:v>
                </c:pt>
                <c:pt idx="65">
                  <c:v>79.760000000000005</c:v>
                </c:pt>
                <c:pt idx="66">
                  <c:v>213.11499999999998</c:v>
                </c:pt>
                <c:pt idx="67">
                  <c:v>1113.0240000000001</c:v>
                </c:pt>
                <c:pt idx="68">
                  <c:v>167.96800000000002</c:v>
                </c:pt>
                <c:pt idx="69">
                  <c:v>75.88</c:v>
                </c:pt>
                <c:pt idx="70">
                  <c:v>4.6159999999999997</c:v>
                </c:pt>
                <c:pt idx="71">
                  <c:v>19.049999999999997</c:v>
                </c:pt>
                <c:pt idx="72">
                  <c:v>831.93600000000015</c:v>
                </c:pt>
                <c:pt idx="73">
                  <c:v>97.04</c:v>
                </c:pt>
                <c:pt idx="74">
                  <c:v>72.784000000000006</c:v>
                </c:pt>
                <c:pt idx="75">
                  <c:v>1.2479999999999998</c:v>
                </c:pt>
                <c:pt idx="76">
                  <c:v>9.7080000000000002</c:v>
                </c:pt>
                <c:pt idx="77">
                  <c:v>27.240000000000002</c:v>
                </c:pt>
                <c:pt idx="78">
                  <c:v>19.3</c:v>
                </c:pt>
                <c:pt idx="79">
                  <c:v>208.16</c:v>
                </c:pt>
                <c:pt idx="80">
                  <c:v>16.740000000000002</c:v>
                </c:pt>
                <c:pt idx="81">
                  <c:v>14.9</c:v>
                </c:pt>
                <c:pt idx="82">
                  <c:v>21.39</c:v>
                </c:pt>
                <c:pt idx="83">
                  <c:v>200.98400000000004</c:v>
                </c:pt>
                <c:pt idx="84">
                  <c:v>230.376</c:v>
                </c:pt>
                <c:pt idx="85">
                  <c:v>301.95999999999998</c:v>
                </c:pt>
                <c:pt idx="86">
                  <c:v>19.989999999999998</c:v>
                </c:pt>
                <c:pt idx="87">
                  <c:v>6.16</c:v>
                </c:pt>
                <c:pt idx="88">
                  <c:v>158.36800000000002</c:v>
                </c:pt>
                <c:pt idx="89">
                  <c:v>20.100000000000001</c:v>
                </c:pt>
                <c:pt idx="90">
                  <c:v>73.584000000000003</c:v>
                </c:pt>
                <c:pt idx="91">
                  <c:v>6.48</c:v>
                </c:pt>
                <c:pt idx="92">
                  <c:v>12.96</c:v>
                </c:pt>
                <c:pt idx="93">
                  <c:v>53.34</c:v>
                </c:pt>
                <c:pt idx="94">
                  <c:v>32.96</c:v>
                </c:pt>
                <c:pt idx="95">
                  <c:v>5.6820000000000013</c:v>
                </c:pt>
                <c:pt idx="96">
                  <c:v>96.53</c:v>
                </c:pt>
                <c:pt idx="97">
                  <c:v>51.311999999999998</c:v>
                </c:pt>
                <c:pt idx="98">
                  <c:v>77.88</c:v>
                </c:pt>
                <c:pt idx="99">
                  <c:v>64.623999999999995</c:v>
                </c:pt>
                <c:pt idx="100">
                  <c:v>95.976000000000013</c:v>
                </c:pt>
                <c:pt idx="101">
                  <c:v>1.7879999999999996</c:v>
                </c:pt>
                <c:pt idx="102">
                  <c:v>23.92</c:v>
                </c:pt>
                <c:pt idx="103">
                  <c:v>238.89600000000002</c:v>
                </c:pt>
                <c:pt idx="104">
                  <c:v>102.35999999999999</c:v>
                </c:pt>
                <c:pt idx="105">
                  <c:v>36.882000000000005</c:v>
                </c:pt>
                <c:pt idx="106">
                  <c:v>74.112000000000009</c:v>
                </c:pt>
                <c:pt idx="107">
                  <c:v>27.992000000000004</c:v>
                </c:pt>
                <c:pt idx="108">
                  <c:v>3.3040000000000003</c:v>
                </c:pt>
                <c:pt idx="109">
                  <c:v>339.96000000000004</c:v>
                </c:pt>
                <c:pt idx="110">
                  <c:v>41.96</c:v>
                </c:pt>
                <c:pt idx="111">
                  <c:v>75.959999999999994</c:v>
                </c:pt>
                <c:pt idx="112">
                  <c:v>27.240000000000002</c:v>
                </c:pt>
                <c:pt idx="113">
                  <c:v>40.096000000000004</c:v>
                </c:pt>
                <c:pt idx="114">
                  <c:v>4.7200000000000006</c:v>
                </c:pt>
                <c:pt idx="115">
                  <c:v>23.976000000000003</c:v>
                </c:pt>
                <c:pt idx="116">
                  <c:v>130.464</c:v>
                </c:pt>
                <c:pt idx="117">
                  <c:v>787.53</c:v>
                </c:pt>
                <c:pt idx="118">
                  <c:v>157.79400000000004</c:v>
                </c:pt>
                <c:pt idx="119">
                  <c:v>47.04</c:v>
                </c:pt>
              </c:numCache>
            </c:numRef>
          </c:val>
          <c:smooth val="0"/>
          <c:extLst>
            <c:ext xmlns:c16="http://schemas.microsoft.com/office/drawing/2014/chart" uri="{C3380CC4-5D6E-409C-BE32-E72D297353CC}">
              <c16:uniqueId val="{00000000-8E3C-48DD-A0B1-1DD07A5F0962}"/>
            </c:ext>
          </c:extLst>
        </c:ser>
        <c:dLbls>
          <c:showLegendKey val="0"/>
          <c:showVal val="0"/>
          <c:showCatName val="0"/>
          <c:showSerName val="0"/>
          <c:showPercent val="0"/>
          <c:showBubbleSize val="0"/>
        </c:dLbls>
        <c:smooth val="0"/>
        <c:axId val="397000432"/>
        <c:axId val="397000912"/>
      </c:lineChart>
      <c:catAx>
        <c:axId val="397000432"/>
        <c:scaling>
          <c:orientation val="minMax"/>
        </c:scaling>
        <c:delete val="1"/>
        <c:axPos val="b"/>
        <c:majorTickMark val="none"/>
        <c:minorTickMark val="none"/>
        <c:tickLblPos val="nextTo"/>
        <c:crossAx val="397000912"/>
        <c:crosses val="autoZero"/>
        <c:auto val="1"/>
        <c:lblAlgn val="ctr"/>
        <c:lblOffset val="100"/>
        <c:noMultiLvlLbl val="0"/>
      </c:catAx>
      <c:valAx>
        <c:axId val="397000912"/>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397000432"/>
        <c:crosses val="autoZero"/>
        <c:crossBetween val="between"/>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[Project01_Sales_Performance_Dashboard.xlsm]PIVOT_TABLE!PivotTable1</c:name>
    <c:fmtId val="25"/>
  </c:pivotSource>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en-US">
                <a:solidFill>
                  <a:schemeClr val="bg1"/>
                </a:solidFill>
              </a:rPr>
              <a:t>TOTAL</a:t>
            </a:r>
            <a:r>
              <a:rPr lang="en-US" baseline="0">
                <a:solidFill>
                  <a:schemeClr val="bg1"/>
                </a:solidFill>
              </a:rPr>
              <a:t> SALES</a:t>
            </a:r>
            <a:endParaRPr lang="en-US">
              <a:solidFill>
                <a:schemeClr val="bg1"/>
              </a:solidFill>
            </a:endParaRPr>
          </a:p>
        </c:rich>
      </c:tx>
      <c:layout>
        <c:manualLayout>
          <c:xMode val="edge"/>
          <c:yMode val="edge"/>
          <c:x val="0.42362460743080022"/>
          <c:y val="5.0493527210173056E-2"/>
        </c:manualLayout>
      </c:layout>
      <c:overlay val="0"/>
      <c:spPr>
        <a:solidFill>
          <a:schemeClr val="tx1"/>
        </a:solidFill>
        <a:ln>
          <a:noFill/>
        </a:ln>
        <a:effectLst/>
      </c:spPr>
      <c:txPr>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lumMod val="60000"/>
              <a:lumOff val="4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lumMod val="60000"/>
              <a:lumOff val="4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3">
              <a:lumMod val="60000"/>
              <a:lumOff val="4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635870516185475"/>
          <c:y val="0.17707786526684166"/>
          <c:w val="0.76112270341207344"/>
          <c:h val="0.69578996590943376"/>
        </c:manualLayout>
      </c:layout>
      <c:barChart>
        <c:barDir val="col"/>
        <c:grouping val="clustered"/>
        <c:varyColors val="0"/>
        <c:ser>
          <c:idx val="0"/>
          <c:order val="0"/>
          <c:tx>
            <c:strRef>
              <c:f>PIVOT_TABLE!$B$3:$B$4</c:f>
              <c:strCache>
                <c:ptCount val="1"/>
                <c:pt idx="0">
                  <c:v>Total</c:v>
                </c:pt>
              </c:strCache>
            </c:strRef>
          </c:tx>
          <c:spPr>
            <a:solidFill>
              <a:schemeClr val="accent3">
                <a:lumMod val="60000"/>
                <a:lumOff val="4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PIVOT_TABLE!$A$5:$A$9</c:f>
              <c:strCache>
                <c:ptCount val="4"/>
                <c:pt idx="0">
                  <c:v>Central</c:v>
                </c:pt>
                <c:pt idx="1">
                  <c:v>East</c:v>
                </c:pt>
                <c:pt idx="2">
                  <c:v>South</c:v>
                </c:pt>
                <c:pt idx="3">
                  <c:v>West</c:v>
                </c:pt>
              </c:strCache>
            </c:strRef>
          </c:cat>
          <c:val>
            <c:numRef>
              <c:f>PIVOT_TABLE!$B$5:$B$9</c:f>
              <c:numCache>
                <c:formatCode>General</c:formatCode>
                <c:ptCount val="4"/>
                <c:pt idx="0">
                  <c:v>5507.2041999999983</c:v>
                </c:pt>
                <c:pt idx="1">
                  <c:v>5557.308</c:v>
                </c:pt>
                <c:pt idx="2">
                  <c:v>4153.6995000000006</c:v>
                </c:pt>
                <c:pt idx="3">
                  <c:v>8568.2899999999991</c:v>
                </c:pt>
              </c:numCache>
            </c:numRef>
          </c:val>
          <c:extLst>
            <c:ext xmlns:c16="http://schemas.microsoft.com/office/drawing/2014/chart" uri="{C3380CC4-5D6E-409C-BE32-E72D297353CC}">
              <c16:uniqueId val="{00000000-6DCF-44F5-8434-FC113EAAC605}"/>
            </c:ext>
          </c:extLst>
        </c:ser>
        <c:dLbls>
          <c:showLegendKey val="0"/>
          <c:showVal val="0"/>
          <c:showCatName val="0"/>
          <c:showSerName val="0"/>
          <c:showPercent val="0"/>
          <c:showBubbleSize val="0"/>
        </c:dLbls>
        <c:gapWidth val="100"/>
        <c:overlap val="-24"/>
        <c:axId val="1017372272"/>
        <c:axId val="1017369392"/>
      </c:barChart>
      <c:catAx>
        <c:axId val="10173722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17369392"/>
        <c:crosses val="autoZero"/>
        <c:auto val="1"/>
        <c:lblAlgn val="ctr"/>
        <c:lblOffset val="100"/>
        <c:noMultiLvlLbl val="0"/>
      </c:catAx>
      <c:valAx>
        <c:axId val="1017369392"/>
        <c:scaling>
          <c:orientation val="minMax"/>
        </c:scaling>
        <c:delete val="0"/>
        <c:axPos val="l"/>
        <c:majorGridlines>
          <c:spPr>
            <a:ln w="9525" cap="flat" cmpd="sng" algn="ctr">
              <a:solidFill>
                <a:schemeClr val="tx1">
                  <a:alpha val="47000"/>
                </a:schemeClr>
              </a:solidFill>
              <a:round/>
            </a:ln>
            <a:effectLst/>
          </c:spPr>
        </c:majorGridlines>
        <c:numFmt formatCode="#,##0.00" sourceLinked="0"/>
        <c:majorTickMark val="none"/>
        <c:minorTickMark val="none"/>
        <c:tickLblPos val="nextTo"/>
        <c:spPr>
          <a:solidFill>
            <a:schemeClr val="tx1"/>
          </a:solidFill>
          <a:ln>
            <a:noFill/>
          </a:ln>
          <a:effectLst/>
        </c:spPr>
        <c:txPr>
          <a:bodyPr rot="-6000000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crossAx val="1017372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10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[Project01_Sales_Performance_Dashboard.xlsm]PIVOT_TABLE!PivotTable8</c:name>
    <c:fmtId val="35"/>
  </c:pivotSource>
  <c:chart>
    <c:title>
      <c:tx>
        <c:rich>
          <a:bodyPr rot="0" spcFirstLastPara="1" vertOverflow="ellipsis" vert="horz" wrap="square" anchor="ctr" anchorCtr="1"/>
          <a:lstStyle/>
          <a:p>
            <a:pPr>
              <a:defRPr sz="2400" b="1" i="0" u="none" strike="noStrike" kern="1200" cap="none" baseline="0">
                <a:solidFill>
                  <a:schemeClr val="bg1"/>
                </a:solidFill>
                <a:latin typeface="+mn-lt"/>
                <a:ea typeface="+mn-ea"/>
                <a:cs typeface="+mn-cs"/>
              </a:defRPr>
            </a:pPr>
            <a:r>
              <a:rPr lang="en-US" sz="2400">
                <a:solidFill>
                  <a:schemeClr val="bg1"/>
                </a:solidFill>
              </a:rPr>
              <a:t>PROFIT</a:t>
            </a:r>
          </a:p>
        </c:rich>
      </c:tx>
      <c:overlay val="0"/>
      <c:spPr>
        <a:noFill/>
        <a:ln>
          <a:noFill/>
        </a:ln>
        <a:effectLst/>
      </c:spPr>
      <c:txPr>
        <a:bodyPr rot="0" spcFirstLastPara="1" vertOverflow="ellipsis" vert="horz" wrap="square" anchor="ctr" anchorCtr="1"/>
        <a:lstStyle/>
        <a:p>
          <a:pPr>
            <a:defRPr sz="2400" b="1" i="0" u="none" strike="noStrike" kern="1200" cap="none"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7.2486220472440951E-2"/>
              <c:y val="-3.2407407407407406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5.9645888013998248E-2"/>
              <c:y val="6.0185185185185182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2.8312554680664917E-2"/>
              <c:y val="9.722222222222214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5.9645888013998248E-2"/>
              <c:y val="6.0185185185185182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7.2486220472440951E-2"/>
              <c:y val="-3.2407407407407406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2.8312554680664917E-2"/>
              <c:y val="9.722222222222214E-2"/>
            </c:manualLayout>
          </c:layout>
          <c:dLblPos val="r"/>
          <c:showLegendKey val="0"/>
          <c:showVal val="1"/>
          <c:showCatName val="0"/>
          <c:showSerName val="0"/>
          <c:showPercent val="0"/>
          <c:showBubbleSize val="0"/>
          <c:extLst>
            <c:ext xmlns:c15="http://schemas.microsoft.com/office/drawing/2012/chart" uri="{CE6537A1-D6FC-4f65-9D91-7224C49458BB}"/>
          </c:extLst>
        </c:dLbl>
      </c:pivotFmt>
      <c:pivotFmt>
        <c:idx val="10"/>
        <c:spPr>
          <a:ln w="22225" cap="rnd">
            <a:solidFill>
              <a:schemeClr val="dk1">
                <a:tint val="88500"/>
              </a:schemeClr>
            </a:solidFill>
          </a:ln>
          <a:effectLst>
            <a:glow rad="139700">
              <a:schemeClr val="dk1">
                <a:tint val="88500"/>
                <a:satMod val="175000"/>
                <a:alpha val="14000"/>
              </a:schemeClr>
            </a:glow>
          </a:effectLst>
        </c:spPr>
        <c:marker>
          <c:symbol val="circle"/>
          <c:size val="4"/>
          <c:spPr>
            <a:solidFill>
              <a:schemeClr val="dk1">
                <a:tint val="88500"/>
                <a:lumMod val="60000"/>
                <a:lumOff val="40000"/>
              </a:schemeClr>
            </a:solidFill>
            <a:ln>
              <a:noFill/>
            </a:ln>
            <a:effectLst>
              <a:glow rad="63500">
                <a:schemeClr val="dk1">
                  <a:tint val="885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ln w="22225" cap="rnd">
            <a:solidFill>
              <a:schemeClr val="dk1">
                <a:tint val="88500"/>
              </a:schemeClr>
            </a:solidFill>
          </a:ln>
          <a:effectLst>
            <a:glow rad="139700">
              <a:schemeClr val="dk1">
                <a:tint val="88500"/>
                <a:satMod val="175000"/>
                <a:alpha val="14000"/>
              </a:schemeClr>
            </a:glow>
          </a:effectLst>
        </c:spPr>
        <c:marker>
          <c:symbol val="circle"/>
          <c:size val="4"/>
          <c:spPr>
            <a:solidFill>
              <a:schemeClr val="dk1">
                <a:tint val="88500"/>
                <a:lumMod val="60000"/>
                <a:lumOff val="40000"/>
              </a:schemeClr>
            </a:solidFill>
            <a:ln>
              <a:noFill/>
            </a:ln>
            <a:effectLst>
              <a:glow rad="63500">
                <a:schemeClr val="dk1">
                  <a:tint val="88500"/>
                  <a:satMod val="175000"/>
                  <a:alpha val="25000"/>
                </a:schemeClr>
              </a:glow>
            </a:effectLst>
          </c:spPr>
        </c:marker>
        <c:dLbl>
          <c:idx val="0"/>
          <c:layout>
            <c:manualLayout>
              <c:x val="1.2145595919219647E-2"/>
              <c:y val="3.1151771975785031E-2"/>
            </c:manualLayout>
          </c:layout>
          <c:spPr>
            <a:noFill/>
            <a:ln>
              <a:noFill/>
            </a:ln>
            <a:effectLst/>
          </c:spPr>
          <c:txPr>
            <a:bodyPr rot="0" spcFirstLastPara="1" vertOverflow="ellipsis" vert="horz" wrap="square" lIns="38100" tIns="19050" rIns="38100" bIns="19050" anchor="ctr" anchorCtr="1">
              <a:noAutofit/>
            </a:bodyPr>
            <a:lstStyle/>
            <a:p>
              <a:pPr>
                <a:defRPr sz="2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20456596494499713"/>
                  <c:h val="8.8473776507264221E-2"/>
                </c:manualLayout>
              </c15:layout>
            </c:ext>
          </c:extLst>
        </c:dLbl>
      </c:pivotFmt>
      <c:pivotFmt>
        <c:idx val="12"/>
        <c:spPr>
          <a:ln w="22225" cap="rnd">
            <a:solidFill>
              <a:schemeClr val="dk1">
                <a:tint val="88500"/>
              </a:schemeClr>
            </a:solidFill>
          </a:ln>
          <a:effectLst>
            <a:glow rad="139700">
              <a:schemeClr val="dk1">
                <a:tint val="88500"/>
                <a:satMod val="175000"/>
                <a:alpha val="14000"/>
              </a:schemeClr>
            </a:glow>
          </a:effectLst>
        </c:spPr>
        <c:marker>
          <c:symbol val="circle"/>
          <c:size val="4"/>
          <c:spPr>
            <a:solidFill>
              <a:schemeClr val="dk1">
                <a:tint val="88500"/>
                <a:lumMod val="60000"/>
                <a:lumOff val="40000"/>
              </a:schemeClr>
            </a:solidFill>
            <a:ln>
              <a:noFill/>
            </a:ln>
            <a:effectLst>
              <a:glow rad="63500">
                <a:schemeClr val="dk1">
                  <a:tint val="88500"/>
                  <a:satMod val="175000"/>
                  <a:alpha val="25000"/>
                </a:schemeClr>
              </a:glow>
            </a:effectLst>
          </c:spPr>
        </c:marker>
        <c:dLbl>
          <c:idx val="0"/>
          <c:layout>
            <c:manualLayout>
              <c:x val="-3.2682656658151704E-2"/>
              <c:y val="-1.8768866642969822E-2"/>
            </c:manualLayout>
          </c:layout>
          <c:spPr>
            <a:noFill/>
            <a:ln>
              <a:noFill/>
            </a:ln>
            <a:effectLst/>
          </c:spPr>
          <c:txPr>
            <a:bodyPr rot="0" spcFirstLastPara="1" vertOverflow="ellipsis" vert="horz" wrap="square" lIns="38100" tIns="19050" rIns="38100" bIns="19050" anchor="ctr" anchorCtr="1">
              <a:noAutofit/>
            </a:bodyPr>
            <a:lstStyle/>
            <a:p>
              <a:pPr>
                <a:defRPr sz="2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27196215782283439"/>
                  <c:h val="0.10841134140958991"/>
                </c:manualLayout>
              </c15:layout>
            </c:ext>
          </c:extLst>
        </c:dLbl>
      </c:pivotFmt>
      <c:pivotFmt>
        <c:idx val="13"/>
        <c:spPr>
          <a:ln w="22225" cap="rnd">
            <a:solidFill>
              <a:schemeClr val="dk1">
                <a:tint val="88500"/>
              </a:schemeClr>
            </a:solidFill>
          </a:ln>
          <a:effectLst>
            <a:glow rad="139700">
              <a:schemeClr val="dk1">
                <a:tint val="88500"/>
                <a:satMod val="175000"/>
                <a:alpha val="14000"/>
              </a:schemeClr>
            </a:glow>
          </a:effectLst>
        </c:spPr>
        <c:marker>
          <c:symbol val="circle"/>
          <c:size val="4"/>
          <c:spPr>
            <a:solidFill>
              <a:schemeClr val="dk1">
                <a:tint val="88500"/>
                <a:lumMod val="60000"/>
                <a:lumOff val="40000"/>
              </a:schemeClr>
            </a:solidFill>
            <a:ln>
              <a:noFill/>
            </a:ln>
            <a:effectLst>
              <a:glow rad="63500">
                <a:schemeClr val="dk1">
                  <a:tint val="88500"/>
                  <a:satMod val="175000"/>
                  <a:alpha val="25000"/>
                </a:schemeClr>
              </a:glow>
            </a:effectLst>
          </c:spPr>
        </c:marker>
        <c:dLbl>
          <c:idx val="0"/>
          <c:layout>
            <c:manualLayout>
              <c:x val="-4.7256414360118681E-2"/>
              <c:y val="0.15255954812829717"/>
            </c:manualLayout>
          </c:layout>
          <c:spPr>
            <a:noFill/>
            <a:ln>
              <a:noFill/>
            </a:ln>
            <a:effectLst/>
          </c:spPr>
          <c:txPr>
            <a:bodyPr rot="0" spcFirstLastPara="1" vertOverflow="ellipsis" vert="horz" wrap="square" lIns="38100" tIns="19050" rIns="38100" bIns="19050" anchor="ctr" anchorCtr="1">
              <a:noAutofit/>
            </a:bodyPr>
            <a:lstStyle/>
            <a:p>
              <a:pPr>
                <a:defRPr sz="2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9677467317063335"/>
                  <c:h val="0.11249228152279782"/>
                </c:manualLayout>
              </c15:layout>
            </c:ext>
          </c:extLst>
        </c:dLbl>
      </c:pivotFmt>
    </c:pivotFmts>
    <c:plotArea>
      <c:layout>
        <c:manualLayout>
          <c:layoutTarget val="inner"/>
          <c:xMode val="edge"/>
          <c:yMode val="edge"/>
          <c:x val="4.7540586090617044E-2"/>
          <c:y val="7.1278888582237881E-2"/>
          <c:w val="0.90089647509249049"/>
          <c:h val="0.85373134828791264"/>
        </c:manualLayout>
      </c:layout>
      <c:lineChart>
        <c:grouping val="standard"/>
        <c:varyColors val="0"/>
        <c:ser>
          <c:idx val="0"/>
          <c:order val="0"/>
          <c:tx>
            <c:strRef>
              <c:f>PIVOT_TABLE!$E$20</c:f>
              <c:strCache>
                <c:ptCount val="1"/>
                <c:pt idx="0">
                  <c:v>Total</c:v>
                </c:pt>
              </c:strCache>
            </c:strRef>
          </c:tx>
          <c:spPr>
            <a:ln w="22225" cap="rnd">
              <a:solidFill>
                <a:schemeClr val="dk1">
                  <a:tint val="88500"/>
                </a:schemeClr>
              </a:solidFill>
            </a:ln>
            <a:effectLst>
              <a:glow rad="139700">
                <a:schemeClr val="dk1">
                  <a:tint val="88500"/>
                  <a:satMod val="175000"/>
                  <a:alpha val="14000"/>
                </a:schemeClr>
              </a:glow>
            </a:effectLst>
          </c:spPr>
          <c:marker>
            <c:symbol val="circle"/>
            <c:size val="4"/>
            <c:spPr>
              <a:solidFill>
                <a:schemeClr val="dk1">
                  <a:tint val="88500"/>
                  <a:lumMod val="60000"/>
                  <a:lumOff val="40000"/>
                </a:schemeClr>
              </a:solidFill>
              <a:ln>
                <a:noFill/>
              </a:ln>
              <a:effectLst>
                <a:glow rad="63500">
                  <a:schemeClr val="dk1">
                    <a:tint val="88500"/>
                    <a:satMod val="175000"/>
                    <a:alpha val="25000"/>
                  </a:schemeClr>
                </a:glow>
              </a:effectLst>
            </c:spPr>
          </c:marker>
          <c:dPt>
            <c:idx val="0"/>
            <c:marker>
              <c:symbol val="circle"/>
              <c:size val="4"/>
              <c:spPr>
                <a:solidFill>
                  <a:schemeClr val="dk1">
                    <a:tint val="88500"/>
                    <a:lumMod val="60000"/>
                    <a:lumOff val="40000"/>
                  </a:schemeClr>
                </a:solidFill>
                <a:ln>
                  <a:noFill/>
                </a:ln>
                <a:effectLst>
                  <a:glow rad="63500">
                    <a:schemeClr val="dk1">
                      <a:tint val="88500"/>
                      <a:satMod val="175000"/>
                      <a:alpha val="25000"/>
                    </a:schemeClr>
                  </a:glow>
                </a:effectLst>
              </c:spPr>
            </c:marker>
            <c:bubble3D val="0"/>
            <c:extLst>
              <c:ext xmlns:c16="http://schemas.microsoft.com/office/drawing/2014/chart" uri="{C3380CC4-5D6E-409C-BE32-E72D297353CC}">
                <c16:uniqueId val="{00000001-C550-460F-B548-0A49A5E33BF6}"/>
              </c:ext>
            </c:extLst>
          </c:dPt>
          <c:dPt>
            <c:idx val="1"/>
            <c:marker>
              <c:symbol val="circle"/>
              <c:size val="4"/>
              <c:spPr>
                <a:solidFill>
                  <a:schemeClr val="dk1">
                    <a:tint val="88500"/>
                    <a:lumMod val="60000"/>
                    <a:lumOff val="40000"/>
                  </a:schemeClr>
                </a:solidFill>
                <a:ln>
                  <a:noFill/>
                </a:ln>
                <a:effectLst>
                  <a:glow rad="63500">
                    <a:schemeClr val="dk1">
                      <a:tint val="88500"/>
                      <a:satMod val="175000"/>
                      <a:alpha val="25000"/>
                    </a:schemeClr>
                  </a:glow>
                </a:effectLst>
              </c:spPr>
            </c:marker>
            <c:bubble3D val="0"/>
            <c:extLst>
              <c:ext xmlns:c16="http://schemas.microsoft.com/office/drawing/2014/chart" uri="{C3380CC4-5D6E-409C-BE32-E72D297353CC}">
                <c16:uniqueId val="{00000003-C550-460F-B548-0A49A5E33BF6}"/>
              </c:ext>
            </c:extLst>
          </c:dPt>
          <c:dPt>
            <c:idx val="2"/>
            <c:marker>
              <c:symbol val="circle"/>
              <c:size val="4"/>
              <c:spPr>
                <a:solidFill>
                  <a:schemeClr val="dk1">
                    <a:tint val="88500"/>
                    <a:lumMod val="60000"/>
                    <a:lumOff val="40000"/>
                  </a:schemeClr>
                </a:solidFill>
                <a:ln>
                  <a:noFill/>
                </a:ln>
                <a:effectLst>
                  <a:glow rad="63500">
                    <a:schemeClr val="dk1">
                      <a:tint val="88500"/>
                      <a:satMod val="175000"/>
                      <a:alpha val="25000"/>
                    </a:schemeClr>
                  </a:glow>
                </a:effectLst>
              </c:spPr>
            </c:marker>
            <c:bubble3D val="0"/>
            <c:extLst>
              <c:ext xmlns:c16="http://schemas.microsoft.com/office/drawing/2014/chart" uri="{C3380CC4-5D6E-409C-BE32-E72D297353CC}">
                <c16:uniqueId val="{00000005-C550-460F-B548-0A49A5E33BF6}"/>
              </c:ext>
            </c:extLst>
          </c:dPt>
          <c:dLbls>
            <c:dLbl>
              <c:idx val="0"/>
              <c:layout>
                <c:manualLayout>
                  <c:x val="1.2145595919219647E-2"/>
                  <c:y val="3.1151771975785031E-2"/>
                </c:manualLayout>
              </c:layout>
              <c:spPr>
                <a:noFill/>
                <a:ln>
                  <a:noFill/>
                </a:ln>
                <a:effectLst/>
              </c:spPr>
              <c:txPr>
                <a:bodyPr rot="0" spcFirstLastPara="1" vertOverflow="ellipsis" vert="horz" wrap="square" lIns="38100" tIns="19050" rIns="38100" bIns="19050" anchor="ctr" anchorCtr="1">
                  <a:noAutofit/>
                </a:bodyPr>
                <a:lstStyle/>
                <a:p>
                  <a:pPr>
                    <a:defRPr sz="2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20456596494499713"/>
                      <c:h val="8.8473776507264221E-2"/>
                    </c:manualLayout>
                  </c15:layout>
                </c:ext>
                <c:ext xmlns:c16="http://schemas.microsoft.com/office/drawing/2014/chart" uri="{C3380CC4-5D6E-409C-BE32-E72D297353CC}">
                  <c16:uniqueId val="{00000001-C550-460F-B548-0A49A5E33BF6}"/>
                </c:ext>
              </c:extLst>
            </c:dLbl>
            <c:dLbl>
              <c:idx val="1"/>
              <c:layout>
                <c:manualLayout>
                  <c:x val="-3.2682656658151704E-2"/>
                  <c:y val="-1.8768866642969822E-2"/>
                </c:manualLayout>
              </c:layout>
              <c:spPr>
                <a:noFill/>
                <a:ln>
                  <a:noFill/>
                </a:ln>
                <a:effectLst/>
              </c:spPr>
              <c:txPr>
                <a:bodyPr rot="0" spcFirstLastPara="1" vertOverflow="ellipsis" vert="horz" wrap="square" lIns="38100" tIns="19050" rIns="38100" bIns="19050" anchor="ctr" anchorCtr="1">
                  <a:noAutofit/>
                </a:bodyPr>
                <a:lstStyle/>
                <a:p>
                  <a:pPr>
                    <a:defRPr sz="2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27196215782283439"/>
                      <c:h val="0.10841134140958991"/>
                    </c:manualLayout>
                  </c15:layout>
                </c:ext>
                <c:ext xmlns:c16="http://schemas.microsoft.com/office/drawing/2014/chart" uri="{C3380CC4-5D6E-409C-BE32-E72D297353CC}">
                  <c16:uniqueId val="{00000003-C550-460F-B548-0A49A5E33BF6}"/>
                </c:ext>
              </c:extLst>
            </c:dLbl>
            <c:dLbl>
              <c:idx val="2"/>
              <c:layout>
                <c:manualLayout>
                  <c:x val="-4.7256414360118681E-2"/>
                  <c:y val="0.15255954812829717"/>
                </c:manualLayout>
              </c:layout>
              <c:spPr>
                <a:noFill/>
                <a:ln>
                  <a:noFill/>
                </a:ln>
                <a:effectLst/>
              </c:spPr>
              <c:txPr>
                <a:bodyPr rot="0" spcFirstLastPara="1" vertOverflow="ellipsis" vert="horz" wrap="square" lIns="38100" tIns="19050" rIns="38100" bIns="19050" anchor="ctr" anchorCtr="1">
                  <a:noAutofit/>
                </a:bodyPr>
                <a:lstStyle/>
                <a:p>
                  <a:pPr>
                    <a:defRPr sz="24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9677467317063335"/>
                      <c:h val="0.11249228152279782"/>
                    </c:manualLayout>
                  </c15:layout>
                </c:ext>
                <c:ext xmlns:c16="http://schemas.microsoft.com/office/drawing/2014/chart" uri="{C3380CC4-5D6E-409C-BE32-E72D297353CC}">
                  <c16:uniqueId val="{00000005-C550-460F-B548-0A49A5E33BF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PIVOT_TABLE!$D$21:$D$24</c:f>
              <c:strCache>
                <c:ptCount val="3"/>
                <c:pt idx="0">
                  <c:v>Consumer</c:v>
                </c:pt>
                <c:pt idx="1">
                  <c:v>Corporate</c:v>
                </c:pt>
                <c:pt idx="2">
                  <c:v>Home Office</c:v>
                </c:pt>
              </c:strCache>
            </c:strRef>
          </c:cat>
          <c:val>
            <c:numRef>
              <c:f>PIVOT_TABLE!$E$21:$E$24</c:f>
              <c:numCache>
                <c:formatCode>General</c:formatCode>
                <c:ptCount val="3"/>
                <c:pt idx="0">
                  <c:v>-447.69670000000036</c:v>
                </c:pt>
                <c:pt idx="1">
                  <c:v>598.16369999999995</c:v>
                </c:pt>
                <c:pt idx="2">
                  <c:v>-39.471300000000127</c:v>
                </c:pt>
              </c:numCache>
            </c:numRef>
          </c:val>
          <c:smooth val="0"/>
          <c:extLst>
            <c:ext xmlns:c16="http://schemas.microsoft.com/office/drawing/2014/chart" uri="{C3380CC4-5D6E-409C-BE32-E72D297353CC}">
              <c16:uniqueId val="{00000006-C550-460F-B548-0A49A5E33BF6}"/>
            </c:ext>
          </c:extLst>
        </c:ser>
        <c:dLbls>
          <c:dLblPos val="ctr"/>
          <c:showLegendKey val="0"/>
          <c:showVal val="1"/>
          <c:showCatName val="0"/>
          <c:showSerName val="0"/>
          <c:showPercent val="0"/>
          <c:showBubbleSize val="0"/>
        </c:dLbls>
        <c:marker val="1"/>
        <c:smooth val="0"/>
        <c:axId val="1505130143"/>
        <c:axId val="1707573775"/>
      </c:lineChart>
      <c:catAx>
        <c:axId val="150513014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1707573775"/>
        <c:crosses val="autoZero"/>
        <c:auto val="1"/>
        <c:lblAlgn val="ctr"/>
        <c:lblOffset val="100"/>
        <c:noMultiLvlLbl val="0"/>
      </c:catAx>
      <c:valAx>
        <c:axId val="17075737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05130143"/>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[Project01_Sales_Performance_Dashboard.xlsm]PIVOT_TABLE!PivotTable5</c:name>
    <c:fmtId val="11"/>
  </c:pivotSource>
  <c:chart>
    <c:autoTitleDeleted val="1"/>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ln>
                    <a:no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c:spPr>
        <c:dLbl>
          <c:idx val="0"/>
          <c:layout>
            <c:manualLayout>
              <c:x val="5.2159441967897712E-3"/>
              <c:y val="-1.2300035641048156E-2"/>
            </c:manualLayout>
          </c:layout>
          <c:spPr>
            <a:noFill/>
            <a:ln>
              <a:noFill/>
            </a:ln>
            <a:effectLst/>
          </c:spPr>
          <c:txPr>
            <a:bodyPr rot="0" spcFirstLastPara="1" vertOverflow="ellipsis" vert="horz" wrap="square" anchor="ctr" anchorCtr="1"/>
            <a:lstStyle/>
            <a:p>
              <a:pPr>
                <a:defRPr sz="1100" b="0" i="0" u="none" strike="noStrike" kern="1200" baseline="0">
                  <a:ln>
                    <a:no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dLbl>
          <c:idx val="0"/>
          <c:layout>
            <c:manualLayout>
              <c:x val="1.7386480655965902E-2"/>
              <c:y val="8.2000237606987703E-3"/>
            </c:manualLayout>
          </c:layout>
          <c:spPr>
            <a:noFill/>
            <a:ln>
              <a:noFill/>
            </a:ln>
            <a:effectLst/>
          </c:spPr>
          <c:txPr>
            <a:bodyPr rot="0" spcFirstLastPara="1" vertOverflow="ellipsis" vert="horz" wrap="square" anchor="ctr" anchorCtr="1"/>
            <a:lstStyle/>
            <a:p>
              <a:pPr>
                <a:defRPr sz="1100" b="0" i="0" u="none" strike="noStrike" kern="1200" baseline="0">
                  <a:ln>
                    <a:no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9.2800272050506769E-2"/>
                  <c:h val="4.1881621357768975E-2"/>
                </c:manualLayout>
              </c15:layout>
            </c:ext>
          </c:extLst>
        </c:dLbl>
      </c:pivotFmt>
      <c:pivotFmt>
        <c:idx val="7"/>
        <c:spPr>
          <a:solidFill>
            <a:schemeClr val="accent3"/>
          </a:solidFill>
          <a:ln>
            <a:noFill/>
          </a:ln>
          <a:effectLst/>
        </c:spPr>
        <c:dLbl>
          <c:idx val="0"/>
          <c:layout>
            <c:manualLayout>
              <c:x val="2.4341072918352264E-2"/>
              <c:y val="2.0500059401746926E-3"/>
            </c:manualLayout>
          </c:layout>
          <c:spPr>
            <a:noFill/>
            <a:ln>
              <a:noFill/>
            </a:ln>
            <a:effectLst/>
          </c:spPr>
          <c:txPr>
            <a:bodyPr rot="0" spcFirstLastPara="1" vertOverflow="ellipsis" vert="horz" wrap="square" anchor="ctr" anchorCtr="1"/>
            <a:lstStyle/>
            <a:p>
              <a:pPr>
                <a:defRPr sz="1100" b="0" i="0" u="none" strike="noStrike" kern="1200" baseline="0">
                  <a:ln>
                    <a:no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dLbl>
          <c:idx val="0"/>
          <c:layout>
            <c:manualLayout>
              <c:x val="2.0863776787158957E-2"/>
              <c:y val="2.0500059401746926E-3"/>
            </c:manualLayout>
          </c:layout>
          <c:spPr>
            <a:noFill/>
            <a:ln>
              <a:noFill/>
            </a:ln>
            <a:effectLst/>
          </c:spPr>
          <c:txPr>
            <a:bodyPr rot="0" spcFirstLastPara="1" vertOverflow="ellipsis" vert="horz" wrap="square" anchor="ctr" anchorCtr="1"/>
            <a:lstStyle/>
            <a:p>
              <a:pPr>
                <a:defRPr sz="1100" b="0" i="0" u="none" strike="noStrike" kern="1200" baseline="0">
                  <a:ln>
                    <a:no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dLbl>
          <c:idx val="0"/>
          <c:layout>
            <c:manualLayout>
              <c:x val="-3.6511609377528398E-2"/>
              <c:y val="-4.7150136624017937E-2"/>
            </c:manualLayout>
          </c:layout>
          <c:spPr>
            <a:noFill/>
            <a:ln>
              <a:noFill/>
            </a:ln>
            <a:effectLst/>
          </c:spPr>
          <c:txPr>
            <a:bodyPr rot="0" spcFirstLastPara="1" vertOverflow="ellipsis" vert="horz" wrap="square" anchor="ctr" anchorCtr="1"/>
            <a:lstStyle/>
            <a:p>
              <a:pPr>
                <a:defRPr sz="1100" b="0" i="0" u="none" strike="noStrike" kern="1200" baseline="0">
                  <a:ln>
                    <a:no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9393352185904327"/>
          <c:y val="5.6397341596859871E-2"/>
          <c:w val="0.46260037213320265"/>
          <c:h val="0.87627669208574022"/>
        </c:manualLayout>
      </c:layout>
      <c:barChart>
        <c:barDir val="bar"/>
        <c:grouping val="clustered"/>
        <c:varyColors val="0"/>
        <c:ser>
          <c:idx val="0"/>
          <c:order val="0"/>
          <c:tx>
            <c:strRef>
              <c:f>PIVOT_TABLE!$K$3:$K$4</c:f>
              <c:strCache>
                <c:ptCount val="1"/>
                <c:pt idx="0">
                  <c:v>Total</c:v>
                </c:pt>
              </c:strCache>
            </c:strRef>
          </c:tx>
          <c:spPr>
            <a:solidFill>
              <a:schemeClr val="accent3"/>
            </a:solidFill>
            <a:ln>
              <a:noFill/>
            </a:ln>
            <a:effectLst/>
          </c:spPr>
          <c:invertIfNegative val="0"/>
          <c:dLbls>
            <c:dLbl>
              <c:idx val="0"/>
              <c:layout>
                <c:manualLayout>
                  <c:x val="-3.6511609377528398E-2"/>
                  <c:y val="-4.715013662401793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82E-4ECA-99FD-777E1795066E}"/>
                </c:ext>
              </c:extLst>
            </c:dLbl>
            <c:dLbl>
              <c:idx val="6"/>
              <c:layout>
                <c:manualLayout>
                  <c:x val="2.0863776787158957E-2"/>
                  <c:y val="2.050005940174692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82E-4ECA-99FD-777E1795066E}"/>
                </c:ext>
              </c:extLst>
            </c:dLbl>
            <c:dLbl>
              <c:idx val="7"/>
              <c:layout>
                <c:manualLayout>
                  <c:x val="2.4341072918352264E-2"/>
                  <c:y val="2.050005940174692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82E-4ECA-99FD-777E1795066E}"/>
                </c:ext>
              </c:extLst>
            </c:dLbl>
            <c:dLbl>
              <c:idx val="8"/>
              <c:layout>
                <c:manualLayout>
                  <c:x val="1.7386480655965902E-2"/>
                  <c:y val="8.2000237606987703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9.2800272050506769E-2"/>
                      <c:h val="4.1881621357768975E-2"/>
                    </c:manualLayout>
                  </c15:layout>
                </c:ext>
                <c:ext xmlns:c16="http://schemas.microsoft.com/office/drawing/2014/chart" uri="{C3380CC4-5D6E-409C-BE32-E72D297353CC}">
                  <c16:uniqueId val="{00000002-B82E-4ECA-99FD-777E1795066E}"/>
                </c:ext>
              </c:extLst>
            </c:dLbl>
            <c:dLbl>
              <c:idx val="9"/>
              <c:layout>
                <c:manualLayout>
                  <c:x val="5.2159441967897712E-3"/>
                  <c:y val="-1.230003564104815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82E-4ECA-99FD-777E1795066E}"/>
                </c:ext>
              </c:extLst>
            </c:dLbl>
            <c:spPr>
              <a:noFill/>
              <a:ln>
                <a:noFill/>
              </a:ln>
              <a:effectLst/>
            </c:spPr>
            <c:txPr>
              <a:bodyPr rot="0" spcFirstLastPara="1" vertOverflow="ellipsis" vert="horz" wrap="square" anchor="ctr" anchorCtr="1"/>
              <a:lstStyle/>
              <a:p>
                <a:pPr>
                  <a:defRPr sz="1100" b="0" i="0" u="none" strike="noStrike" kern="1200" baseline="0">
                    <a:ln>
                      <a:noFill/>
                    </a:ln>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PIVOT_TABLE!$J$5:$J$15</c:f>
              <c:strCache>
                <c:ptCount val="10"/>
                <c:pt idx="0">
                  <c:v>Riverside Palais Royal Lawyers Bookcase, Royale Cherry Finish</c:v>
                </c:pt>
                <c:pt idx="1">
                  <c:v>Mitel 5320 IP Phone VoIP phone</c:v>
                </c:pt>
                <c:pt idx="2">
                  <c:v>Konftel 250 Conference phone - Charcoal black</c:v>
                </c:pt>
                <c:pt idx="3">
                  <c:v>Hunt BOSTON Model 1606 High-Volume Electric Pencil Sharpener, Beige</c:v>
                </c:pt>
                <c:pt idx="4">
                  <c:v>Hon Racetrack Conference Tables</c:v>
                </c:pt>
                <c:pt idx="5">
                  <c:v>High-Back Leather Manager's Chair</c:v>
                </c:pt>
                <c:pt idx="6">
                  <c:v>GE 30524EE4</c:v>
                </c:pt>
                <c:pt idx="7">
                  <c:v>Chromcraft Rectangular Conference Tables</c:v>
                </c:pt>
                <c:pt idx="8">
                  <c:v>Bretford CR4500 Series Slim Rectangular Table</c:v>
                </c:pt>
                <c:pt idx="9">
                  <c:v>AT&amp;T CL83451 4-Handset Telephone</c:v>
                </c:pt>
              </c:strCache>
            </c:strRef>
          </c:cat>
          <c:val>
            <c:numRef>
              <c:f>PIVOT_TABLE!$K$5:$K$15</c:f>
              <c:numCache>
                <c:formatCode>General</c:formatCode>
                <c:ptCount val="10"/>
                <c:pt idx="0">
                  <c:v>3083.4300000000003</c:v>
                </c:pt>
                <c:pt idx="1">
                  <c:v>907.15200000000004</c:v>
                </c:pt>
                <c:pt idx="2">
                  <c:v>911.42399999999998</c:v>
                </c:pt>
                <c:pt idx="3">
                  <c:v>1113.0240000000001</c:v>
                </c:pt>
                <c:pt idx="4">
                  <c:v>787.53</c:v>
                </c:pt>
                <c:pt idx="5">
                  <c:v>831.93600000000015</c:v>
                </c:pt>
                <c:pt idx="6">
                  <c:v>1097.5440000000003</c:v>
                </c:pt>
                <c:pt idx="7">
                  <c:v>1706.1840000000002</c:v>
                </c:pt>
                <c:pt idx="8">
                  <c:v>2002.2075</c:v>
                </c:pt>
                <c:pt idx="9">
                  <c:v>1029.95</c:v>
                </c:pt>
              </c:numCache>
            </c:numRef>
          </c:val>
          <c:extLst>
            <c:ext xmlns:c16="http://schemas.microsoft.com/office/drawing/2014/chart" uri="{C3380CC4-5D6E-409C-BE32-E72D297353CC}">
              <c16:uniqueId val="{00000000-B82E-4ECA-99FD-777E1795066E}"/>
            </c:ext>
          </c:extLst>
        </c:ser>
        <c:dLbls>
          <c:dLblPos val="outEnd"/>
          <c:showLegendKey val="0"/>
          <c:showVal val="1"/>
          <c:showCatName val="0"/>
          <c:showSerName val="0"/>
          <c:showPercent val="0"/>
          <c:showBubbleSize val="0"/>
        </c:dLbls>
        <c:gapWidth val="182"/>
        <c:axId val="1421740032"/>
        <c:axId val="1421740512"/>
      </c:barChart>
      <c:catAx>
        <c:axId val="14217400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ln>
                  <a:noFill/>
                </a:ln>
                <a:solidFill>
                  <a:schemeClr val="bg1"/>
                </a:solidFill>
                <a:latin typeface="+mn-lt"/>
                <a:ea typeface="+mn-ea"/>
                <a:cs typeface="+mn-cs"/>
              </a:defRPr>
            </a:pPr>
            <a:endParaRPr lang="en-US"/>
          </a:p>
        </c:txPr>
        <c:crossAx val="1421740512"/>
        <c:crosses val="autoZero"/>
        <c:auto val="1"/>
        <c:lblAlgn val="ctr"/>
        <c:lblOffset val="100"/>
        <c:noMultiLvlLbl val="0"/>
      </c:catAx>
      <c:valAx>
        <c:axId val="1421740512"/>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42174003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chemeClr val="tx1">
          <a:lumMod val="15000"/>
          <a:lumOff val="85000"/>
        </a:schemeClr>
      </a:solidFill>
      <a:round/>
    </a:ln>
    <a:effectLst/>
  </c:spPr>
  <c:txPr>
    <a:bodyPr anchor="ctr" anchorCtr="0"/>
    <a:lstStyle/>
    <a:p>
      <a:pPr>
        <a:defRPr>
          <a:ln>
            <a:noFill/>
          </a:ln>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[Project01_Sales_Performance_Dashboard.xlsm]PIVOT_TABLE!PivotTable2</c:name>
    <c:fmtId val="10"/>
  </c:pivotSource>
  <c:chart>
    <c:title>
      <c:tx>
        <c:rich>
          <a:bodyPr rot="0" spcFirstLastPara="1" vertOverflow="ellipsis" vert="horz" wrap="square" anchor="ctr" anchorCtr="1"/>
          <a:lstStyle/>
          <a:p>
            <a:pPr>
              <a:defRPr sz="3200" b="1" i="0" u="none" strike="noStrike" kern="1200" cap="all" baseline="0">
                <a:solidFill>
                  <a:srgbClr val="00B050"/>
                </a:solidFill>
                <a:latin typeface="+mn-lt"/>
                <a:ea typeface="+mn-ea"/>
                <a:cs typeface="+mn-cs"/>
              </a:defRPr>
            </a:pPr>
            <a:r>
              <a:rPr lang="en-US" sz="3200">
                <a:solidFill>
                  <a:srgbClr val="00B050"/>
                </a:solidFill>
              </a:rPr>
              <a:t>CATEGORIES</a:t>
            </a:r>
          </a:p>
        </c:rich>
      </c:tx>
      <c:layout>
        <c:manualLayout>
          <c:xMode val="edge"/>
          <c:yMode val="edge"/>
          <c:x val="0.39090802126745311"/>
          <c:y val="3.4311790899847462E-2"/>
        </c:manualLayout>
      </c:layout>
      <c:overlay val="0"/>
      <c:spPr>
        <a:noFill/>
        <a:ln>
          <a:noFill/>
        </a:ln>
        <a:effectLst/>
      </c:spPr>
      <c:txPr>
        <a:bodyPr rot="0" spcFirstLastPara="1" vertOverflow="ellipsis" vert="horz" wrap="square" anchor="ctr" anchorCtr="1"/>
        <a:lstStyle/>
        <a:p>
          <a:pPr>
            <a:defRPr sz="3200" b="1" i="0" u="none" strike="noStrike" kern="1200" cap="all" baseline="0">
              <a:solidFill>
                <a:srgbClr val="00B050"/>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0"/>
      </c:pivotFmt>
      <c:pivotFmt>
        <c:idx val="11"/>
      </c:pivotFmt>
      <c:pivotFmt>
        <c:idx val="12"/>
      </c:pivotFmt>
      <c:pivotFmt>
        <c:idx val="13"/>
        <c:spPr>
          <a:solidFill>
            <a:schemeClr val="accent1"/>
          </a:solidFill>
          <a:ln>
            <a:noFill/>
          </a:ln>
          <a:effectLst>
            <a:outerShdw blurRad="63500" sx="102000" sy="102000" algn="ctr" rotWithShape="0">
              <a:prstClr val="black">
                <a:alpha val="20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63500" sx="102000" sy="102000" algn="ctr" rotWithShape="0">
              <a:prstClr val="black">
                <a:alpha val="20000"/>
              </a:prstClr>
            </a:outerShdw>
          </a:effectLst>
        </c:spPr>
        <c:dLbl>
          <c:idx val="0"/>
          <c:layout>
            <c:manualLayout>
              <c:x val="7.576864294460206E-2"/>
              <c:y val="5.5031688506481748E-2"/>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spc="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7537596934095787"/>
                  <c:h val="0.12548225472672889"/>
                </c:manualLayout>
              </c15:layout>
            </c:ext>
          </c:extLst>
        </c:dLbl>
      </c:pivotFmt>
      <c:pivotFmt>
        <c:idx val="15"/>
        <c:spPr>
          <a:solidFill>
            <a:schemeClr val="accent2"/>
          </a:solidFill>
          <a:ln>
            <a:noFill/>
          </a:ln>
          <a:effectLst>
            <a:outerShdw blurRad="63500" sx="102000" sy="102000" algn="ctr" rotWithShape="0">
              <a:prstClr val="black">
                <a:alpha val="20000"/>
              </a:prstClr>
            </a:outerShdw>
          </a:effectLst>
        </c:spPr>
        <c:dLbl>
          <c:idx val="0"/>
          <c:layout>
            <c:manualLayout>
              <c:x val="7.9847884236442387E-2"/>
              <c:y val="-0.1728597762329773"/>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spc="0" baseline="0">
                  <a:solidFill>
                    <a:schemeClr val="bg1"/>
                  </a:solidFill>
                  <a:latin typeface="Arial Rounded MT Bold" panose="020F0704030504030204" pitchFamily="34"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2834233370344201"/>
                  <c:h val="0.12500814041415936"/>
                </c:manualLayout>
              </c15:layout>
            </c:ext>
          </c:extLst>
        </c:dLbl>
      </c:pivotFmt>
      <c:pivotFmt>
        <c:idx val="16"/>
        <c:spPr>
          <a:solidFill>
            <a:schemeClr val="accent3"/>
          </a:solidFill>
          <a:ln>
            <a:noFill/>
          </a:ln>
          <a:effectLst>
            <a:outerShdw blurRad="63500" sx="102000" sy="102000" algn="ctr" rotWithShape="0">
              <a:prstClr val="black">
                <a:alpha val="20000"/>
              </a:prstClr>
            </a:outerShdw>
          </a:effectLst>
        </c:spPr>
        <c:dLbl>
          <c:idx val="0"/>
          <c:layout>
            <c:manualLayout>
              <c:x val="-6.6855862784767905E-2"/>
              <c:y val="6.4692234273030946E-2"/>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spc="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9434353619092343"/>
                  <c:h val="0.15911803123513205"/>
                </c:manualLayout>
              </c15:layout>
            </c:ext>
          </c:extLst>
        </c:dLbl>
      </c:pivotFmt>
    </c:pivotFmts>
    <c:plotArea>
      <c:layout/>
      <c:pieChart>
        <c:varyColors val="1"/>
        <c:ser>
          <c:idx val="0"/>
          <c:order val="0"/>
          <c:tx>
            <c:strRef>
              <c:f>PIVOT_TABLE!$E$3:$E$4</c:f>
              <c:strCache>
                <c:ptCount val="1"/>
                <c:pt idx="0">
                  <c:v>Total</c:v>
                </c:pt>
              </c:strCache>
            </c:strRef>
          </c:tx>
          <c:explosion val="4"/>
          <c:dPt>
            <c:idx val="0"/>
            <c:bubble3D val="0"/>
            <c:explosion val="8"/>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F91B-4C88-B6C8-D77D75E329E7}"/>
              </c:ext>
            </c:extLst>
          </c:dPt>
          <c:dPt>
            <c:idx val="1"/>
            <c:bubble3D val="0"/>
            <c:explosion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F91B-4C88-B6C8-D77D75E329E7}"/>
              </c:ext>
            </c:extLst>
          </c:dPt>
          <c:dPt>
            <c:idx val="2"/>
            <c:bubble3D val="0"/>
            <c:explosion val="16"/>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F91B-4C88-B6C8-D77D75E329E7}"/>
              </c:ext>
            </c:extLst>
          </c:dPt>
          <c:dLbls>
            <c:dLbl>
              <c:idx val="0"/>
              <c:layout>
                <c:manualLayout>
                  <c:x val="7.576864294460206E-2"/>
                  <c:y val="5.5031688506481748E-2"/>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spc="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7537596934095787"/>
                      <c:h val="0.12548225472672889"/>
                    </c:manualLayout>
                  </c15:layout>
                </c:ext>
                <c:ext xmlns:c16="http://schemas.microsoft.com/office/drawing/2014/chart" uri="{C3380CC4-5D6E-409C-BE32-E72D297353CC}">
                  <c16:uniqueId val="{00000001-F91B-4C88-B6C8-D77D75E329E7}"/>
                </c:ext>
              </c:extLst>
            </c:dLbl>
            <c:dLbl>
              <c:idx val="1"/>
              <c:layout>
                <c:manualLayout>
                  <c:x val="7.9847884236442387E-2"/>
                  <c:y val="-0.1728597762329773"/>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spc="0" baseline="0">
                      <a:solidFill>
                        <a:schemeClr val="bg1"/>
                      </a:solidFill>
                      <a:latin typeface="Arial Rounded MT Bold" panose="020F0704030504030204" pitchFamily="34"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2834233370344201"/>
                      <c:h val="0.12500814041415936"/>
                    </c:manualLayout>
                  </c15:layout>
                </c:ext>
                <c:ext xmlns:c16="http://schemas.microsoft.com/office/drawing/2014/chart" uri="{C3380CC4-5D6E-409C-BE32-E72D297353CC}">
                  <c16:uniqueId val="{00000003-F91B-4C88-B6C8-D77D75E329E7}"/>
                </c:ext>
              </c:extLst>
            </c:dLbl>
            <c:dLbl>
              <c:idx val="2"/>
              <c:layout>
                <c:manualLayout>
                  <c:x val="-6.6855862784767905E-2"/>
                  <c:y val="6.4692234273030946E-2"/>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spc="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9434353619092343"/>
                      <c:h val="0.15911803123513205"/>
                    </c:manualLayout>
                  </c15:layout>
                </c:ext>
                <c:ext xmlns:c16="http://schemas.microsoft.com/office/drawing/2014/chart" uri="{C3380CC4-5D6E-409C-BE32-E72D297353CC}">
                  <c16:uniqueId val="{00000005-F91B-4C88-B6C8-D77D75E329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PIVOT_TABLE!$D$5:$D$8</c:f>
              <c:strCache>
                <c:ptCount val="3"/>
                <c:pt idx="0">
                  <c:v>Furniture</c:v>
                </c:pt>
                <c:pt idx="1">
                  <c:v>Office Supplies</c:v>
                </c:pt>
                <c:pt idx="2">
                  <c:v>Technology</c:v>
                </c:pt>
              </c:strCache>
            </c:strRef>
          </c:cat>
          <c:val>
            <c:numRef>
              <c:f>PIVOT_TABLE!$E$5:$E$8</c:f>
              <c:numCache>
                <c:formatCode>General</c:formatCode>
                <c:ptCount val="3"/>
                <c:pt idx="0">
                  <c:v>-77.345900000000015</c:v>
                </c:pt>
                <c:pt idx="1">
                  <c:v>-97.831100000000021</c:v>
                </c:pt>
                <c:pt idx="2">
                  <c:v>98.951099999999911</c:v>
                </c:pt>
              </c:numCache>
            </c:numRef>
          </c:val>
          <c:extLst>
            <c:ext xmlns:c16="http://schemas.microsoft.com/office/drawing/2014/chart" uri="{C3380CC4-5D6E-409C-BE32-E72D297353CC}">
              <c16:uniqueId val="{00000006-F91B-4C88-B6C8-D77D75E329E7}"/>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plotSurface>
          <cx:spPr>
            <a:solidFill>
              <a:schemeClr val="tx1"/>
            </a:solidFill>
            <a:ln>
              <a:noFill/>
            </a:ln>
          </cx:spPr>
        </cx:plotSurface>
        <cx:series layoutId="clusteredColumn" uniqueId="{2EE78EA6-6954-4E47-91F1-A4CC958A11E1}">
          <cx:dataLabels pos="inEnd">
            <cx:visibility seriesName="0" categoryName="0" value="1"/>
          </cx:dataLabels>
          <cx:dataId val="0"/>
          <cx:layoutPr>
            <cx:binning intervalClosed="r"/>
          </cx:layoutPr>
        </cx:series>
      </cx:plotAreaRegion>
      <cx:axis id="0" hidden="1">
        <cx:catScaling gapWidth="0"/>
        <cx:tickLabels/>
      </cx:axis>
      <cx:axis id="1" hidden="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70">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microsoft.com/office/2014/relationships/chartEx" Target="../charts/chartEx1.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5</xdr:col>
      <xdr:colOff>0</xdr:colOff>
      <xdr:row>11</xdr:row>
      <xdr:rowOff>0</xdr:rowOff>
    </xdr:to>
    <xdr:graphicFrame macro="">
      <xdr:nvGraphicFramePr>
        <xdr:cNvPr id="2" name="Chart 1">
          <a:extLst>
            <a:ext uri="{FF2B5EF4-FFF2-40B4-BE49-F238E27FC236}">
              <a16:creationId xmlns:a16="http://schemas.microsoft.com/office/drawing/2014/main" id="{249E0D8A-94B1-47DA-865B-409CCCBF4A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668692</xdr:colOff>
      <xdr:row>7</xdr:row>
      <xdr:rowOff>27454</xdr:rowOff>
    </xdr:from>
    <xdr:to>
      <xdr:col>12</xdr:col>
      <xdr:colOff>0</xdr:colOff>
      <xdr:row>10</xdr:row>
      <xdr:rowOff>155509</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7EA6533-65C6-4DCD-AB2A-5EE4830C25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4012161" y="1162678"/>
              <a:ext cx="4012166" cy="107666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24</xdr:col>
      <xdr:colOff>620946</xdr:colOff>
      <xdr:row>5</xdr:row>
      <xdr:rowOff>0</xdr:rowOff>
    </xdr:from>
    <xdr:to>
      <xdr:col>36</xdr:col>
      <xdr:colOff>0</xdr:colOff>
      <xdr:row>7</xdr:row>
      <xdr:rowOff>238547</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C43B7D36-AF50-46F7-ABF6-96F71308E9A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7431128" y="1039091"/>
              <a:ext cx="7414690" cy="9774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12</xdr:row>
      <xdr:rowOff>0</xdr:rowOff>
    </xdr:from>
    <xdr:to>
      <xdr:col>12</xdr:col>
      <xdr:colOff>0</xdr:colOff>
      <xdr:row>35</xdr:row>
      <xdr:rowOff>0</xdr:rowOff>
    </xdr:to>
    <xdr:graphicFrame macro="">
      <xdr:nvGraphicFramePr>
        <xdr:cNvPr id="7" name="Chart 6">
          <a:extLst>
            <a:ext uri="{FF2B5EF4-FFF2-40B4-BE49-F238E27FC236}">
              <a16:creationId xmlns:a16="http://schemas.microsoft.com/office/drawing/2014/main" id="{393846A8-135A-4144-A44D-0D164BB36C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11</xdr:row>
      <xdr:rowOff>0</xdr:rowOff>
    </xdr:from>
    <xdr:to>
      <xdr:col>24</xdr:col>
      <xdr:colOff>1</xdr:colOff>
      <xdr:row>36</xdr:row>
      <xdr:rowOff>0</xdr:rowOff>
    </xdr:to>
    <xdr:graphicFrame macro="">
      <xdr:nvGraphicFramePr>
        <xdr:cNvPr id="8" name="Chart 7">
          <a:extLst>
            <a:ext uri="{FF2B5EF4-FFF2-40B4-BE49-F238E27FC236}">
              <a16:creationId xmlns:a16="http://schemas.microsoft.com/office/drawing/2014/main" id="{2E412D91-A0DC-4FAF-A2BF-79E82E44B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25</xdr:col>
      <xdr:colOff>0</xdr:colOff>
      <xdr:row>16</xdr:row>
      <xdr:rowOff>0</xdr:rowOff>
    </xdr:from>
    <xdr:to>
      <xdr:col>28</xdr:col>
      <xdr:colOff>377732</xdr:colOff>
      <xdr:row>22</xdr:row>
      <xdr:rowOff>197068</xdr:rowOff>
    </xdr:to>
    <mc:AlternateContent xmlns:mc="http://schemas.openxmlformats.org/markup-compatibility/2006">
      <mc:Choice xmlns:a14="http://schemas.microsoft.com/office/drawing/2010/main" Requires="a14">
        <xdr:graphicFrame macro="">
          <xdr:nvGraphicFramePr>
            <xdr:cNvPr id="9" name="Segment">
              <a:extLst>
                <a:ext uri="{FF2B5EF4-FFF2-40B4-BE49-F238E27FC236}">
                  <a16:creationId xmlns:a16="http://schemas.microsoft.com/office/drawing/2014/main" id="{9E0A04BB-59D9-421B-BEBA-CA28911C292E}"/>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17479818" y="3856182"/>
              <a:ext cx="2386641" cy="14439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570242</xdr:colOff>
      <xdr:row>37</xdr:row>
      <xdr:rowOff>0</xdr:rowOff>
    </xdr:from>
    <xdr:to>
      <xdr:col>12</xdr:col>
      <xdr:colOff>0</xdr:colOff>
      <xdr:row>70</xdr:row>
      <xdr:rowOff>0</xdr:rowOff>
    </xdr:to>
    <xdr:graphicFrame macro="">
      <xdr:nvGraphicFramePr>
        <xdr:cNvPr id="11" name="Chart 10">
          <a:extLst>
            <a:ext uri="{FF2B5EF4-FFF2-40B4-BE49-F238E27FC236}">
              <a16:creationId xmlns:a16="http://schemas.microsoft.com/office/drawing/2014/main" id="{DEFB4929-9D4F-4C06-B9C7-1E45E97B9C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37</xdr:row>
      <xdr:rowOff>0</xdr:rowOff>
    </xdr:from>
    <xdr:to>
      <xdr:col>24</xdr:col>
      <xdr:colOff>1</xdr:colOff>
      <xdr:row>71</xdr:row>
      <xdr:rowOff>0</xdr:rowOff>
    </xdr:to>
    <xdr:graphicFrame macro="">
      <xdr:nvGraphicFramePr>
        <xdr:cNvPr id="13" name="Chart 12">
          <a:extLst>
            <a:ext uri="{FF2B5EF4-FFF2-40B4-BE49-F238E27FC236}">
              <a16:creationId xmlns:a16="http://schemas.microsoft.com/office/drawing/2014/main" id="{DF1D90E5-E7E8-41BF-BE2F-BF4D91F2BA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25</xdr:col>
      <xdr:colOff>0</xdr:colOff>
      <xdr:row>9</xdr:row>
      <xdr:rowOff>-1</xdr:rowOff>
    </xdr:from>
    <xdr:to>
      <xdr:col>36</xdr:col>
      <xdr:colOff>0</xdr:colOff>
      <xdr:row>15</xdr:row>
      <xdr:rowOff>1</xdr:rowOff>
    </xdr:to>
    <mc:AlternateContent xmlns:mc="http://schemas.openxmlformats.org/markup-compatibility/2006">
      <mc:Choice xmlns:a14="http://schemas.microsoft.com/office/drawing/2010/main" Requires="a14">
        <xdr:graphicFrame macro="">
          <xdr:nvGraphicFramePr>
            <xdr:cNvPr id="15" name="Region 1">
              <a:extLst>
                <a:ext uri="{FF2B5EF4-FFF2-40B4-BE49-F238E27FC236}">
                  <a16:creationId xmlns:a16="http://schemas.microsoft.com/office/drawing/2014/main" id="{D001A1A4-5CBB-42F4-8FB1-BAEB4C4B287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7479818" y="2401454"/>
              <a:ext cx="7366000" cy="12469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thish" refreshedDate="46058.000093750001" createdVersion="8" refreshedVersion="8" recordCount="120" xr:uid="{FC27084A-6561-4050-8C32-8E4EA35702C7}">
  <cacheSource type="worksheet">
    <worksheetSource name="Table2"/>
  </cacheSource>
  <cacheFields count="21">
    <cacheField name="Row ID" numFmtId="0">
      <sharedItems containsSemiMixedTypes="0" containsString="0" containsNumber="1" containsInteger="1" minValue="1" maxValue="120"/>
    </cacheField>
    <cacheField name="Order ID" numFmtId="0">
      <sharedItems/>
    </cacheField>
    <cacheField name="Order Date" numFmtId="14">
      <sharedItems containsSemiMixedTypes="0" containsNonDate="0" containsDate="1" containsString="0" minDate="2014-05-13T00:00:00" maxDate="2017-12-26T00:00:00"/>
    </cacheField>
    <cacheField name="Ship Date" numFmtId="14">
      <sharedItems containsSemiMixedTypes="0" containsNonDate="0" containsDate="1" containsString="0" minDate="2014-05-15T00:00:00" maxDate="2017-12-31T00:00:00"/>
    </cacheField>
    <cacheField name="Ship Mode" numFmtId="0">
      <sharedItems count="3">
        <s v="Second Class"/>
        <s v="Standard Class"/>
        <s v="First Class"/>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25">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haredItems>
    </cacheField>
    <cacheField name="Postal Code" numFmtId="0">
      <sharedItems containsSemiMixedTypes="0" containsString="0" containsNumber="1" containsInteger="1" minValue="10009" maxValue="98103"/>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4">
        <s v="Bookcases"/>
        <s v="Chairs"/>
        <s v="Labels"/>
        <s v="Tables"/>
        <s v="Storage"/>
        <s v="Furnishings"/>
        <s v="Art"/>
        <s v="Phones"/>
        <s v="Binders"/>
        <s v="Appliances"/>
        <s v="Paper"/>
        <s v="Accessories"/>
        <s v="Envelopes"/>
        <s v="Fasteners"/>
      </sharedItems>
    </cacheField>
    <cacheField name="Product Name" numFmtId="0">
      <sharedItems count="117">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haredItems>
    </cacheField>
    <cacheField name="Sales" numFmtId="0">
      <sharedItems containsSemiMixedTypes="0" containsString="0" containsNumber="1" minValue="1.2479999999999998" maxValue="3083.4300000000003" count="117">
        <n v="261.95999999999998"/>
        <n v="731.93999999999994"/>
        <n v="14.62"/>
        <n v="957.57749999999999"/>
        <n v="22.368000000000002"/>
        <n v="48.86"/>
        <n v="7.28"/>
        <n v="907.15200000000004"/>
        <n v="18.504000000000001"/>
        <n v="114.9"/>
        <n v="1706.1840000000002"/>
        <n v="911.42399999999998"/>
        <n v="15.552000000000003"/>
        <n v="407.97600000000006"/>
        <n v="68.809999999999988"/>
        <n v="2.5439999999999996"/>
        <n v="665.88"/>
        <n v="55.5"/>
        <n v="8.56"/>
        <n v="213.48000000000002"/>
        <n v="22.72"/>
        <n v="19.459999999999997"/>
        <n v="60.339999999999996"/>
        <n v="71.371999999999986"/>
        <n v="1044.6299999999999"/>
        <n v="11.648000000000001"/>
        <n v="90.570000000000007"/>
        <n v="3083.4300000000003"/>
        <n v="9.6180000000000021"/>
        <n v="124.20000000000002"/>
        <n v="3.2640000000000002"/>
        <n v="86.304000000000002"/>
        <n v="6.8580000000000014"/>
        <n v="15.76"/>
        <n v="29.472000000000001"/>
        <n v="1097.5440000000003"/>
        <n v="190.92"/>
        <n v="113.328"/>
        <n v="532.39919999999995"/>
        <n v="212.05799999999999"/>
        <n v="371.16800000000001"/>
        <n v="147.16800000000001"/>
        <n v="77.88"/>
        <n v="95.616"/>
        <n v="45.98"/>
        <n v="17.46"/>
        <n v="211.96"/>
        <n v="45"/>
        <n v="21.8"/>
        <n v="38.22"/>
        <n v="75.179999999999993"/>
        <n v="6.16"/>
        <n v="89.99"/>
        <n v="15.260000000000002"/>
        <n v="1029.95"/>
        <n v="208.56"/>
        <n v="32.400000000000006"/>
        <n v="319.41000000000003"/>
        <n v="14.56"/>
        <n v="30"/>
        <n v="48.480000000000004"/>
        <n v="1.68"/>
        <n v="13.98"/>
        <n v="25.824000000000002"/>
        <n v="146.72999999999999"/>
        <n v="79.760000000000005"/>
        <n v="213.11499999999998"/>
        <n v="1113.0240000000001"/>
        <n v="167.96800000000002"/>
        <n v="75.88"/>
        <n v="4.6159999999999997"/>
        <n v="19.049999999999997"/>
        <n v="831.93600000000015"/>
        <n v="97.04"/>
        <n v="72.784000000000006"/>
        <n v="1.2479999999999998"/>
        <n v="9.7080000000000002"/>
        <n v="27.240000000000002"/>
        <n v="19.3"/>
        <n v="208.16"/>
        <n v="16.740000000000002"/>
        <n v="14.9"/>
        <n v="21.39"/>
        <n v="200.98400000000004"/>
        <n v="230.376"/>
        <n v="301.95999999999998"/>
        <n v="19.989999999999998"/>
        <n v="158.36800000000002"/>
        <n v="20.100000000000001"/>
        <n v="73.584000000000003"/>
        <n v="6.48"/>
        <n v="12.96"/>
        <n v="53.34"/>
        <n v="32.96"/>
        <n v="5.6820000000000013"/>
        <n v="96.53"/>
        <n v="51.311999999999998"/>
        <n v="64.623999999999995"/>
        <n v="95.976000000000013"/>
        <n v="1.7879999999999996"/>
        <n v="23.92"/>
        <n v="238.89600000000002"/>
        <n v="102.35999999999999"/>
        <n v="36.882000000000005"/>
        <n v="74.112000000000009"/>
        <n v="27.992000000000004"/>
        <n v="3.3040000000000003"/>
        <n v="339.96000000000004"/>
        <n v="41.96"/>
        <n v="75.959999999999994"/>
        <n v="40.096000000000004"/>
        <n v="4.7200000000000006"/>
        <n v="23.976000000000003"/>
        <n v="130.464"/>
        <n v="787.53"/>
        <n v="157.79400000000004"/>
        <n v="47.04"/>
      </sharedItems>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1665.0522000000001" maxValue="298.68549999999999"/>
    </cacheField>
  </cacheFields>
  <extLst>
    <ext xmlns:x14="http://schemas.microsoft.com/office/spreadsheetml/2009/9/main" uri="{725AE2AE-9491-48be-B2B4-4EB974FC3084}">
      <x14:pivotCacheDefinition pivotCacheId="1194039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
  <r>
    <n v="1"/>
    <s v="CA-2016-152156"/>
    <d v="2016-11-08T00:00:00"/>
    <d v="2016-11-11T00:00:00"/>
    <x v="0"/>
    <s v="CG-12520"/>
    <s v="Claire Gute"/>
    <x v="0"/>
    <s v="United States"/>
    <s v="Henderson"/>
    <x v="0"/>
    <n v="42420"/>
    <x v="0"/>
    <s v="FUR-BO-10001798"/>
    <x v="0"/>
    <x v="0"/>
    <x v="0"/>
    <x v="0"/>
    <n v="2"/>
    <n v="0"/>
    <n v="41.913600000000002"/>
  </r>
  <r>
    <n v="2"/>
    <s v="CA-2016-152156"/>
    <d v="2016-11-08T00:00:00"/>
    <d v="2016-11-11T00:00:00"/>
    <x v="0"/>
    <s v="CG-12520"/>
    <s v="Claire Gute"/>
    <x v="0"/>
    <s v="United States"/>
    <s v="Henderson"/>
    <x v="0"/>
    <n v="42420"/>
    <x v="0"/>
    <s v="FUR-CH-10000454"/>
    <x v="0"/>
    <x v="1"/>
    <x v="1"/>
    <x v="1"/>
    <n v="3"/>
    <n v="0"/>
    <n v="219.58199999999997"/>
  </r>
  <r>
    <n v="3"/>
    <s v="CA-2016-138688"/>
    <d v="2016-06-12T00:00:00"/>
    <d v="2016-06-16T00:00:00"/>
    <x v="0"/>
    <s v="DV-13045"/>
    <s v="Darrin Van Huff"/>
    <x v="1"/>
    <s v="United States"/>
    <s v="Los Angeles"/>
    <x v="1"/>
    <n v="90036"/>
    <x v="1"/>
    <s v="OFF-LA-10000240"/>
    <x v="1"/>
    <x v="2"/>
    <x v="2"/>
    <x v="2"/>
    <n v="2"/>
    <n v="0"/>
    <n v="6.8713999999999995"/>
  </r>
  <r>
    <n v="4"/>
    <s v="US-2015-108966"/>
    <d v="2015-10-11T00:00:00"/>
    <d v="2015-10-18T00:00:00"/>
    <x v="1"/>
    <s v="SO-20335"/>
    <s v="Sean O'Donnell"/>
    <x v="0"/>
    <s v="United States"/>
    <s v="Fort Lauderdale"/>
    <x v="2"/>
    <n v="33311"/>
    <x v="0"/>
    <s v="FUR-TA-10000577"/>
    <x v="0"/>
    <x v="3"/>
    <x v="3"/>
    <x v="3"/>
    <n v="5"/>
    <n v="0.45"/>
    <n v="-383.03100000000006"/>
  </r>
  <r>
    <n v="5"/>
    <s v="US-2015-108966"/>
    <d v="2015-10-11T00:00:00"/>
    <d v="2015-10-18T00:00:00"/>
    <x v="1"/>
    <s v="SO-20335"/>
    <s v="Sean O'Donnell"/>
    <x v="0"/>
    <s v="United States"/>
    <s v="Fort Lauderdale"/>
    <x v="2"/>
    <n v="33311"/>
    <x v="0"/>
    <s v="OFF-ST-10000760"/>
    <x v="1"/>
    <x v="4"/>
    <x v="4"/>
    <x v="4"/>
    <n v="2"/>
    <n v="0.2"/>
    <n v="2.5163999999999991"/>
  </r>
  <r>
    <n v="6"/>
    <s v="CA-2014-115812"/>
    <d v="2014-06-09T00:00:00"/>
    <d v="2014-06-14T00:00:00"/>
    <x v="1"/>
    <s v="BH-11710"/>
    <s v="Brosina Hoffman"/>
    <x v="0"/>
    <s v="United States"/>
    <s v="Los Angeles"/>
    <x v="1"/>
    <n v="90032"/>
    <x v="1"/>
    <s v="FUR-FU-10001487"/>
    <x v="0"/>
    <x v="5"/>
    <x v="5"/>
    <x v="5"/>
    <n v="7"/>
    <n v="0"/>
    <n v="14.169399999999996"/>
  </r>
  <r>
    <n v="7"/>
    <s v="CA-2014-115812"/>
    <d v="2014-06-09T00:00:00"/>
    <d v="2014-06-14T00:00:00"/>
    <x v="1"/>
    <s v="BH-11710"/>
    <s v="Brosina Hoffman"/>
    <x v="0"/>
    <s v="United States"/>
    <s v="Los Angeles"/>
    <x v="1"/>
    <n v="90032"/>
    <x v="1"/>
    <s v="OFF-AR-10002833"/>
    <x v="1"/>
    <x v="6"/>
    <x v="6"/>
    <x v="6"/>
    <n v="4"/>
    <n v="0"/>
    <n v="1.9656000000000002"/>
  </r>
  <r>
    <n v="8"/>
    <s v="CA-2014-115812"/>
    <d v="2014-06-09T00:00:00"/>
    <d v="2014-06-14T00:00:00"/>
    <x v="1"/>
    <s v="BH-11710"/>
    <s v="Brosina Hoffman"/>
    <x v="0"/>
    <s v="United States"/>
    <s v="Los Angeles"/>
    <x v="1"/>
    <n v="90032"/>
    <x v="1"/>
    <s v="TEC-PH-10002275"/>
    <x v="2"/>
    <x v="7"/>
    <x v="7"/>
    <x v="7"/>
    <n v="6"/>
    <n v="0.2"/>
    <n v="90.715200000000038"/>
  </r>
  <r>
    <n v="9"/>
    <s v="CA-2014-115812"/>
    <d v="2014-06-09T00:00:00"/>
    <d v="2014-06-14T00:00:00"/>
    <x v="1"/>
    <s v="BH-11710"/>
    <s v="Brosina Hoffman"/>
    <x v="0"/>
    <s v="United States"/>
    <s v="Los Angeles"/>
    <x v="1"/>
    <n v="90032"/>
    <x v="1"/>
    <s v="OFF-BI-10003910"/>
    <x v="1"/>
    <x v="8"/>
    <x v="8"/>
    <x v="8"/>
    <n v="3"/>
    <n v="0.2"/>
    <n v="5.7824999999999998"/>
  </r>
  <r>
    <n v="10"/>
    <s v="CA-2014-115812"/>
    <d v="2014-06-09T00:00:00"/>
    <d v="2014-06-14T00:00:00"/>
    <x v="1"/>
    <s v="BH-11710"/>
    <s v="Brosina Hoffman"/>
    <x v="0"/>
    <s v="United States"/>
    <s v="Los Angeles"/>
    <x v="1"/>
    <n v="90032"/>
    <x v="1"/>
    <s v="OFF-AP-10002892"/>
    <x v="1"/>
    <x v="9"/>
    <x v="9"/>
    <x v="9"/>
    <n v="5"/>
    <n v="0"/>
    <n v="34.469999999999992"/>
  </r>
  <r>
    <n v="11"/>
    <s v="CA-2014-115812"/>
    <d v="2014-06-09T00:00:00"/>
    <d v="2014-06-14T00:00:00"/>
    <x v="1"/>
    <s v="BH-11710"/>
    <s v="Brosina Hoffman"/>
    <x v="0"/>
    <s v="United States"/>
    <s v="Los Angeles"/>
    <x v="1"/>
    <n v="90032"/>
    <x v="1"/>
    <s v="FUR-TA-10001539"/>
    <x v="0"/>
    <x v="3"/>
    <x v="10"/>
    <x v="10"/>
    <n v="9"/>
    <n v="0.2"/>
    <n v="85.309199999999805"/>
  </r>
  <r>
    <n v="12"/>
    <s v="CA-2014-115812"/>
    <d v="2014-06-09T00:00:00"/>
    <d v="2014-06-14T00:00:00"/>
    <x v="1"/>
    <s v="BH-11710"/>
    <s v="Brosina Hoffman"/>
    <x v="0"/>
    <s v="United States"/>
    <s v="Los Angeles"/>
    <x v="1"/>
    <n v="90032"/>
    <x v="1"/>
    <s v="TEC-PH-10002033"/>
    <x v="2"/>
    <x v="7"/>
    <x v="11"/>
    <x v="11"/>
    <n v="4"/>
    <n v="0.2"/>
    <n v="68.356800000000021"/>
  </r>
  <r>
    <n v="13"/>
    <s v="CA-2017-114412"/>
    <d v="2017-04-15T00:00:00"/>
    <d v="2017-04-20T00:00:00"/>
    <x v="1"/>
    <s v="AA-10480"/>
    <s v="Andrew Allen"/>
    <x v="0"/>
    <s v="United States"/>
    <s v="Concord"/>
    <x v="3"/>
    <n v="28027"/>
    <x v="0"/>
    <s v="OFF-PA-10002365"/>
    <x v="1"/>
    <x v="10"/>
    <x v="12"/>
    <x v="12"/>
    <n v="3"/>
    <n v="0.2"/>
    <n v="5.4432"/>
  </r>
  <r>
    <n v="14"/>
    <s v="CA-2016-161389"/>
    <d v="2016-12-05T00:00:00"/>
    <d v="2016-12-10T00:00:00"/>
    <x v="1"/>
    <s v="IM-15070"/>
    <s v="Irene Maddox"/>
    <x v="0"/>
    <s v="United States"/>
    <s v="Seattle"/>
    <x v="4"/>
    <n v="98103"/>
    <x v="1"/>
    <s v="OFF-BI-10003656"/>
    <x v="1"/>
    <x v="8"/>
    <x v="13"/>
    <x v="13"/>
    <n v="3"/>
    <n v="0.2"/>
    <n v="132.59219999999993"/>
  </r>
  <r>
    <n v="15"/>
    <s v="US-2015-118983"/>
    <d v="2015-11-22T00:00:00"/>
    <d v="2015-11-26T00:00:00"/>
    <x v="1"/>
    <s v="HP-14815"/>
    <s v="Harold Pawlan"/>
    <x v="2"/>
    <s v="United States"/>
    <s v="Fort Worth"/>
    <x v="5"/>
    <n v="76106"/>
    <x v="2"/>
    <s v="OFF-AP-10002311"/>
    <x v="1"/>
    <x v="9"/>
    <x v="14"/>
    <x v="14"/>
    <n v="5"/>
    <n v="0.8"/>
    <n v="-123.858"/>
  </r>
  <r>
    <n v="16"/>
    <s v="US-2015-118983"/>
    <d v="2015-11-22T00:00:00"/>
    <d v="2015-11-26T00:00:00"/>
    <x v="1"/>
    <s v="HP-14815"/>
    <s v="Harold Pawlan"/>
    <x v="2"/>
    <s v="United States"/>
    <s v="Fort Worth"/>
    <x v="5"/>
    <n v="76106"/>
    <x v="2"/>
    <s v="OFF-BI-10000756"/>
    <x v="1"/>
    <x v="8"/>
    <x v="15"/>
    <x v="15"/>
    <n v="3"/>
    <n v="0.8"/>
    <n v="-3.8160000000000016"/>
  </r>
  <r>
    <n v="17"/>
    <s v="CA-2014-105893"/>
    <d v="2014-11-11T00:00:00"/>
    <d v="2014-11-18T00:00:00"/>
    <x v="1"/>
    <s v="PK-19075"/>
    <s v="Pete Kriz"/>
    <x v="0"/>
    <s v="United States"/>
    <s v="Madison"/>
    <x v="6"/>
    <n v="53711"/>
    <x v="2"/>
    <s v="OFF-ST-10004186"/>
    <x v="1"/>
    <x v="4"/>
    <x v="16"/>
    <x v="16"/>
    <n v="6"/>
    <n v="0"/>
    <n v="13.317599999999999"/>
  </r>
  <r>
    <n v="18"/>
    <s v="CA-2014-167164"/>
    <d v="2014-05-13T00:00:00"/>
    <d v="2014-05-15T00:00:00"/>
    <x v="0"/>
    <s v="AG-10270"/>
    <s v="Alejandro Grove"/>
    <x v="0"/>
    <s v="United States"/>
    <s v="West Jordan"/>
    <x v="7"/>
    <n v="84084"/>
    <x v="1"/>
    <s v="OFF-ST-10000107"/>
    <x v="1"/>
    <x v="4"/>
    <x v="17"/>
    <x v="17"/>
    <n v="2"/>
    <n v="0"/>
    <n v="9.9899999999999949"/>
  </r>
  <r>
    <n v="19"/>
    <s v="CA-2014-143336"/>
    <d v="2014-08-27T00:00:00"/>
    <d v="2014-09-01T00:00:00"/>
    <x v="0"/>
    <s v="ZD-21925"/>
    <s v="Zuschuss Donatelli"/>
    <x v="0"/>
    <s v="United States"/>
    <s v="San Francisco"/>
    <x v="1"/>
    <n v="94109"/>
    <x v="1"/>
    <s v="OFF-AR-10003056"/>
    <x v="1"/>
    <x v="6"/>
    <x v="18"/>
    <x v="18"/>
    <n v="2"/>
    <n v="0"/>
    <n v="2.4823999999999993"/>
  </r>
  <r>
    <n v="20"/>
    <s v="CA-2014-143336"/>
    <d v="2014-08-27T00:00:00"/>
    <d v="2014-09-01T00:00:00"/>
    <x v="0"/>
    <s v="ZD-21925"/>
    <s v="Zuschuss Donatelli"/>
    <x v="0"/>
    <s v="United States"/>
    <s v="San Francisco"/>
    <x v="1"/>
    <n v="94109"/>
    <x v="1"/>
    <s v="TEC-PH-10001949"/>
    <x v="2"/>
    <x v="7"/>
    <x v="19"/>
    <x v="19"/>
    <n v="3"/>
    <n v="0.2"/>
    <n v="16.010999999999981"/>
  </r>
  <r>
    <n v="21"/>
    <s v="CA-2014-143336"/>
    <d v="2014-08-27T00:00:00"/>
    <d v="2014-09-01T00:00:00"/>
    <x v="0"/>
    <s v="ZD-21925"/>
    <s v="Zuschuss Donatelli"/>
    <x v="0"/>
    <s v="United States"/>
    <s v="San Francisco"/>
    <x v="1"/>
    <n v="94109"/>
    <x v="1"/>
    <s v="OFF-BI-10002215"/>
    <x v="1"/>
    <x v="8"/>
    <x v="20"/>
    <x v="20"/>
    <n v="4"/>
    <n v="0.2"/>
    <n v="7.3839999999999986"/>
  </r>
  <r>
    <n v="22"/>
    <s v="CA-2016-137330"/>
    <d v="2016-12-09T00:00:00"/>
    <d v="2016-12-13T00:00:00"/>
    <x v="1"/>
    <s v="KB-16585"/>
    <s v="Ken Black"/>
    <x v="1"/>
    <s v="United States"/>
    <s v="Fremont"/>
    <x v="8"/>
    <n v="68025"/>
    <x v="2"/>
    <s v="OFF-AR-10000246"/>
    <x v="1"/>
    <x v="6"/>
    <x v="21"/>
    <x v="21"/>
    <n v="7"/>
    <n v="0"/>
    <n v="5.0595999999999997"/>
  </r>
  <r>
    <n v="23"/>
    <s v="CA-2016-137330"/>
    <d v="2016-12-09T00:00:00"/>
    <d v="2016-12-13T00:00:00"/>
    <x v="1"/>
    <s v="KB-16585"/>
    <s v="Ken Black"/>
    <x v="1"/>
    <s v="United States"/>
    <s v="Fremont"/>
    <x v="8"/>
    <n v="68025"/>
    <x v="2"/>
    <s v="OFF-AP-10001492"/>
    <x v="1"/>
    <x v="9"/>
    <x v="22"/>
    <x v="22"/>
    <n v="7"/>
    <n v="0"/>
    <n v="15.688400000000001"/>
  </r>
  <r>
    <n v="24"/>
    <s v="US-2017-156909"/>
    <d v="2017-07-16T00:00:00"/>
    <d v="2017-07-18T00:00:00"/>
    <x v="0"/>
    <s v="SF-20065"/>
    <s v="Sandra Flanagan"/>
    <x v="0"/>
    <s v="United States"/>
    <s v="Philadelphia"/>
    <x v="9"/>
    <n v="19140"/>
    <x v="3"/>
    <s v="FUR-CH-10002774"/>
    <x v="0"/>
    <x v="1"/>
    <x v="23"/>
    <x v="23"/>
    <n v="2"/>
    <n v="0.3"/>
    <n v="-1.0196000000000005"/>
  </r>
  <r>
    <n v="25"/>
    <s v="CA-2015-106320"/>
    <d v="2015-09-25T00:00:00"/>
    <d v="2015-09-30T00:00:00"/>
    <x v="1"/>
    <s v="EB-13870"/>
    <s v="Emily Burns"/>
    <x v="0"/>
    <s v="United States"/>
    <s v="Orem"/>
    <x v="7"/>
    <n v="84057"/>
    <x v="1"/>
    <s v="FUR-TA-10000577"/>
    <x v="0"/>
    <x v="3"/>
    <x v="3"/>
    <x v="24"/>
    <n v="3"/>
    <n v="0"/>
    <n v="240.26490000000001"/>
  </r>
  <r>
    <n v="26"/>
    <s v="CA-2016-121755"/>
    <d v="2016-01-16T00:00:00"/>
    <d v="2016-01-20T00:00:00"/>
    <x v="0"/>
    <s v="EH-13945"/>
    <s v="Eric Hoffmann"/>
    <x v="0"/>
    <s v="United States"/>
    <s v="Los Angeles"/>
    <x v="1"/>
    <n v="90049"/>
    <x v="1"/>
    <s v="OFF-BI-10001634"/>
    <x v="1"/>
    <x v="8"/>
    <x v="24"/>
    <x v="25"/>
    <n v="2"/>
    <n v="0.2"/>
    <n v="4.2224000000000004"/>
  </r>
  <r>
    <n v="27"/>
    <s v="CA-2016-121755"/>
    <d v="2016-01-16T00:00:00"/>
    <d v="2016-01-20T00:00:00"/>
    <x v="0"/>
    <s v="EH-13945"/>
    <s v="Eric Hoffmann"/>
    <x v="0"/>
    <s v="United States"/>
    <s v="Los Angeles"/>
    <x v="1"/>
    <n v="90049"/>
    <x v="1"/>
    <s v="TEC-AC-10003027"/>
    <x v="2"/>
    <x v="11"/>
    <x v="25"/>
    <x v="26"/>
    <n v="3"/>
    <n v="0"/>
    <n v="11.774100000000004"/>
  </r>
  <r>
    <n v="28"/>
    <s v="US-2015-150630"/>
    <d v="2015-09-17T00:00:00"/>
    <d v="2015-09-21T00:00:00"/>
    <x v="1"/>
    <s v="TB-21520"/>
    <s v="Tracy Blumstein"/>
    <x v="0"/>
    <s v="United States"/>
    <s v="Philadelphia"/>
    <x v="9"/>
    <n v="19140"/>
    <x v="3"/>
    <s v="FUR-BO-10004834"/>
    <x v="0"/>
    <x v="0"/>
    <x v="26"/>
    <x v="27"/>
    <n v="7"/>
    <n v="0.5"/>
    <n v="-1665.0522000000001"/>
  </r>
  <r>
    <n v="29"/>
    <s v="US-2015-150630"/>
    <d v="2015-09-17T00:00:00"/>
    <d v="2015-09-21T00:00:00"/>
    <x v="1"/>
    <s v="TB-21520"/>
    <s v="Tracy Blumstein"/>
    <x v="0"/>
    <s v="United States"/>
    <s v="Philadelphia"/>
    <x v="9"/>
    <n v="19140"/>
    <x v="3"/>
    <s v="OFF-BI-10000474"/>
    <x v="1"/>
    <x v="8"/>
    <x v="27"/>
    <x v="28"/>
    <n v="2"/>
    <n v="0.7"/>
    <n v="-7.0532000000000004"/>
  </r>
  <r>
    <n v="30"/>
    <s v="US-2015-150630"/>
    <d v="2015-09-17T00:00:00"/>
    <d v="2015-09-21T00:00:00"/>
    <x v="1"/>
    <s v="TB-21520"/>
    <s v="Tracy Blumstein"/>
    <x v="0"/>
    <s v="United States"/>
    <s v="Philadelphia"/>
    <x v="9"/>
    <n v="19140"/>
    <x v="3"/>
    <s v="FUR-FU-10004848"/>
    <x v="0"/>
    <x v="5"/>
    <x v="28"/>
    <x v="29"/>
    <n v="3"/>
    <n v="0.2"/>
    <n v="15.524999999999991"/>
  </r>
  <r>
    <n v="31"/>
    <s v="US-2015-150630"/>
    <d v="2015-09-17T00:00:00"/>
    <d v="2015-09-21T00:00:00"/>
    <x v="1"/>
    <s v="TB-21520"/>
    <s v="Tracy Blumstein"/>
    <x v="0"/>
    <s v="United States"/>
    <s v="Philadelphia"/>
    <x v="9"/>
    <n v="19140"/>
    <x v="3"/>
    <s v="OFF-EN-10001509"/>
    <x v="1"/>
    <x v="12"/>
    <x v="29"/>
    <x v="30"/>
    <n v="2"/>
    <n v="0.2"/>
    <n v="1.1015999999999997"/>
  </r>
  <r>
    <n v="32"/>
    <s v="US-2015-150630"/>
    <d v="2015-09-17T00:00:00"/>
    <d v="2015-09-21T00:00:00"/>
    <x v="1"/>
    <s v="TB-21520"/>
    <s v="Tracy Blumstein"/>
    <x v="0"/>
    <s v="United States"/>
    <s v="Philadelphia"/>
    <x v="9"/>
    <n v="19140"/>
    <x v="3"/>
    <s v="OFF-AR-10004042"/>
    <x v="1"/>
    <x v="6"/>
    <x v="30"/>
    <x v="31"/>
    <n v="6"/>
    <n v="0.2"/>
    <n v="9.7091999999999885"/>
  </r>
  <r>
    <n v="33"/>
    <s v="US-2015-150630"/>
    <d v="2015-09-17T00:00:00"/>
    <d v="2015-09-21T00:00:00"/>
    <x v="1"/>
    <s v="TB-21520"/>
    <s v="Tracy Blumstein"/>
    <x v="0"/>
    <s v="United States"/>
    <s v="Philadelphia"/>
    <x v="9"/>
    <n v="19140"/>
    <x v="3"/>
    <s v="OFF-BI-10001525"/>
    <x v="1"/>
    <x v="8"/>
    <x v="31"/>
    <x v="32"/>
    <n v="6"/>
    <n v="0.7"/>
    <n v="-5.7149999999999999"/>
  </r>
  <r>
    <n v="34"/>
    <s v="US-2015-150630"/>
    <d v="2015-09-17T00:00:00"/>
    <d v="2015-09-21T00:00:00"/>
    <x v="1"/>
    <s v="TB-21520"/>
    <s v="Tracy Blumstein"/>
    <x v="0"/>
    <s v="United States"/>
    <s v="Philadelphia"/>
    <x v="9"/>
    <n v="19140"/>
    <x v="3"/>
    <s v="OFF-AR-10001683"/>
    <x v="1"/>
    <x v="6"/>
    <x v="32"/>
    <x v="33"/>
    <n v="2"/>
    <n v="0.2"/>
    <n v="3.5460000000000007"/>
  </r>
  <r>
    <n v="35"/>
    <s v="CA-2017-107727"/>
    <d v="2017-10-19T00:00:00"/>
    <d v="2017-10-23T00:00:00"/>
    <x v="0"/>
    <s v="MA-17560"/>
    <s v="Matt Abelman"/>
    <x v="2"/>
    <s v="United States"/>
    <s v="Houston"/>
    <x v="5"/>
    <n v="77095"/>
    <x v="2"/>
    <s v="OFF-PA-10000249"/>
    <x v="1"/>
    <x v="10"/>
    <x v="33"/>
    <x v="34"/>
    <n v="3"/>
    <n v="0.2"/>
    <n v="9.9467999999999979"/>
  </r>
  <r>
    <n v="36"/>
    <s v="CA-2016-117590"/>
    <d v="2016-12-08T00:00:00"/>
    <d v="2016-12-10T00:00:00"/>
    <x v="2"/>
    <s v="GH-14485"/>
    <s v="Gene Hale"/>
    <x v="1"/>
    <s v="United States"/>
    <s v="Richardson"/>
    <x v="5"/>
    <n v="75080"/>
    <x v="2"/>
    <s v="TEC-PH-10004977"/>
    <x v="2"/>
    <x v="7"/>
    <x v="34"/>
    <x v="35"/>
    <n v="7"/>
    <n v="0.2"/>
    <n v="123.47369999999989"/>
  </r>
  <r>
    <n v="37"/>
    <s v="CA-2016-117590"/>
    <d v="2016-12-08T00:00:00"/>
    <d v="2016-12-10T00:00:00"/>
    <x v="2"/>
    <s v="GH-14485"/>
    <s v="Gene Hale"/>
    <x v="1"/>
    <s v="United States"/>
    <s v="Richardson"/>
    <x v="5"/>
    <n v="75080"/>
    <x v="2"/>
    <s v="FUR-FU-10003664"/>
    <x v="0"/>
    <x v="5"/>
    <x v="35"/>
    <x v="36"/>
    <n v="5"/>
    <n v="0.6"/>
    <n v="-147.96300000000002"/>
  </r>
  <r>
    <n v="38"/>
    <s v="CA-2015-117415"/>
    <d v="2015-12-27T00:00:00"/>
    <d v="2015-12-31T00:00:00"/>
    <x v="1"/>
    <s v="SN-20710"/>
    <s v="Steve Nguyen"/>
    <x v="2"/>
    <s v="United States"/>
    <s v="Houston"/>
    <x v="5"/>
    <n v="77041"/>
    <x v="2"/>
    <s v="OFF-EN-10002986"/>
    <x v="1"/>
    <x v="12"/>
    <x v="36"/>
    <x v="37"/>
    <n v="9"/>
    <n v="0.2"/>
    <n v="35.414999999999999"/>
  </r>
  <r>
    <n v="39"/>
    <s v="CA-2015-117415"/>
    <d v="2015-12-27T00:00:00"/>
    <d v="2015-12-31T00:00:00"/>
    <x v="1"/>
    <s v="SN-20710"/>
    <s v="Steve Nguyen"/>
    <x v="2"/>
    <s v="United States"/>
    <s v="Houston"/>
    <x v="5"/>
    <n v="77041"/>
    <x v="2"/>
    <s v="FUR-BO-10002545"/>
    <x v="0"/>
    <x v="0"/>
    <x v="37"/>
    <x v="38"/>
    <n v="3"/>
    <n v="0.32"/>
    <n v="-46.976400000000012"/>
  </r>
  <r>
    <n v="40"/>
    <s v="CA-2015-117415"/>
    <d v="2015-12-27T00:00:00"/>
    <d v="2015-12-31T00:00:00"/>
    <x v="1"/>
    <s v="SN-20710"/>
    <s v="Steve Nguyen"/>
    <x v="2"/>
    <s v="United States"/>
    <s v="Houston"/>
    <x v="5"/>
    <n v="77041"/>
    <x v="2"/>
    <s v="FUR-CH-10004218"/>
    <x v="0"/>
    <x v="1"/>
    <x v="38"/>
    <x v="39"/>
    <n v="3"/>
    <n v="0.3"/>
    <n v="-15.146999999999991"/>
  </r>
  <r>
    <n v="41"/>
    <s v="CA-2015-117415"/>
    <d v="2015-12-27T00:00:00"/>
    <d v="2015-12-31T00:00:00"/>
    <x v="1"/>
    <s v="SN-20710"/>
    <s v="Steve Nguyen"/>
    <x v="2"/>
    <s v="United States"/>
    <s v="Houston"/>
    <x v="5"/>
    <n v="77041"/>
    <x v="2"/>
    <s v="TEC-PH-10000486"/>
    <x v="2"/>
    <x v="7"/>
    <x v="39"/>
    <x v="40"/>
    <n v="4"/>
    <n v="0.2"/>
    <n v="41.756399999999957"/>
  </r>
  <r>
    <n v="42"/>
    <s v="CA-2017-120999"/>
    <d v="2017-09-10T00:00:00"/>
    <d v="2017-09-15T00:00:00"/>
    <x v="1"/>
    <s v="LC-16930"/>
    <s v="Linda Cazamias"/>
    <x v="1"/>
    <s v="United States"/>
    <s v="Naperville"/>
    <x v="10"/>
    <n v="60540"/>
    <x v="2"/>
    <s v="TEC-PH-10004093"/>
    <x v="2"/>
    <x v="7"/>
    <x v="40"/>
    <x v="41"/>
    <n v="4"/>
    <n v="0.2"/>
    <n v="16.556399999999996"/>
  </r>
  <r>
    <n v="43"/>
    <s v="CA-2016-101343"/>
    <d v="2016-07-17T00:00:00"/>
    <d v="2016-07-22T00:00:00"/>
    <x v="1"/>
    <s v="RA-19885"/>
    <s v="Ruben Ausman"/>
    <x v="1"/>
    <s v="United States"/>
    <s v="Los Angeles"/>
    <x v="1"/>
    <n v="90049"/>
    <x v="1"/>
    <s v="OFF-ST-10003479"/>
    <x v="1"/>
    <x v="4"/>
    <x v="41"/>
    <x v="42"/>
    <n v="2"/>
    <n v="0"/>
    <n v="3.8939999999999912"/>
  </r>
  <r>
    <n v="44"/>
    <s v="CA-2017-139619"/>
    <d v="2017-09-19T00:00:00"/>
    <d v="2017-09-23T00:00:00"/>
    <x v="1"/>
    <s v="ES-14080"/>
    <s v="Erin Smith"/>
    <x v="1"/>
    <s v="United States"/>
    <s v="Melbourne"/>
    <x v="2"/>
    <n v="32935"/>
    <x v="0"/>
    <s v="OFF-ST-10003282"/>
    <x v="1"/>
    <x v="4"/>
    <x v="42"/>
    <x v="43"/>
    <n v="2"/>
    <n v="0.2"/>
    <n v="9.5616000000000092"/>
  </r>
  <r>
    <n v="45"/>
    <s v="CA-2016-118255"/>
    <d v="2016-03-11T00:00:00"/>
    <d v="2016-03-13T00:00:00"/>
    <x v="2"/>
    <s v="ON-18715"/>
    <s v="Odella Nelson"/>
    <x v="1"/>
    <s v="United States"/>
    <s v="Eagan"/>
    <x v="11"/>
    <n v="55122"/>
    <x v="2"/>
    <s v="TEC-AC-10000171"/>
    <x v="2"/>
    <x v="11"/>
    <x v="43"/>
    <x v="44"/>
    <n v="2"/>
    <n v="0"/>
    <n v="19.7714"/>
  </r>
  <r>
    <n v="46"/>
    <s v="CA-2016-118255"/>
    <d v="2016-03-11T00:00:00"/>
    <d v="2016-03-13T00:00:00"/>
    <x v="2"/>
    <s v="ON-18715"/>
    <s v="Odella Nelson"/>
    <x v="1"/>
    <s v="United States"/>
    <s v="Eagan"/>
    <x v="11"/>
    <n v="55122"/>
    <x v="2"/>
    <s v="OFF-BI-10003291"/>
    <x v="1"/>
    <x v="8"/>
    <x v="44"/>
    <x v="45"/>
    <n v="2"/>
    <n v="0"/>
    <n v="8.2061999999999991"/>
  </r>
  <r>
    <n v="47"/>
    <s v="CA-2014-146703"/>
    <d v="2014-10-20T00:00:00"/>
    <d v="2014-10-25T00:00:00"/>
    <x v="0"/>
    <s v="PO-18865"/>
    <s v="Patrick O'Donnell"/>
    <x v="0"/>
    <s v="United States"/>
    <s v="Westland"/>
    <x v="12"/>
    <n v="48185"/>
    <x v="2"/>
    <s v="OFF-ST-10001713"/>
    <x v="1"/>
    <x v="4"/>
    <x v="45"/>
    <x v="46"/>
    <n v="4"/>
    <n v="0"/>
    <n v="8.4783999999999935"/>
  </r>
  <r>
    <n v="48"/>
    <s v="CA-2016-169194"/>
    <d v="2016-06-20T00:00:00"/>
    <d v="2016-06-25T00:00:00"/>
    <x v="1"/>
    <s v="LH-16900"/>
    <s v="Lena Hernandez"/>
    <x v="0"/>
    <s v="United States"/>
    <s v="Dover"/>
    <x v="13"/>
    <n v="19901"/>
    <x v="3"/>
    <s v="TEC-AC-10002167"/>
    <x v="2"/>
    <x v="11"/>
    <x v="46"/>
    <x v="47"/>
    <n v="3"/>
    <n v="0"/>
    <n v="4.9500000000000011"/>
  </r>
  <r>
    <n v="49"/>
    <s v="CA-2016-169194"/>
    <d v="2016-06-20T00:00:00"/>
    <d v="2016-06-25T00:00:00"/>
    <x v="1"/>
    <s v="LH-16900"/>
    <s v="Lena Hernandez"/>
    <x v="0"/>
    <s v="United States"/>
    <s v="Dover"/>
    <x v="13"/>
    <n v="19901"/>
    <x v="3"/>
    <s v="TEC-PH-10003988"/>
    <x v="2"/>
    <x v="7"/>
    <x v="47"/>
    <x v="48"/>
    <n v="2"/>
    <n v="0"/>
    <n v="6.104000000000001"/>
  </r>
  <r>
    <n v="50"/>
    <s v="CA-2015-115742"/>
    <d v="2015-04-18T00:00:00"/>
    <d v="2015-04-22T00:00:00"/>
    <x v="1"/>
    <s v="DP-13000"/>
    <s v="Darren Powers"/>
    <x v="0"/>
    <s v="United States"/>
    <s v="New Albany"/>
    <x v="14"/>
    <n v="47150"/>
    <x v="2"/>
    <s v="OFF-BI-10004410"/>
    <x v="1"/>
    <x v="8"/>
    <x v="48"/>
    <x v="49"/>
    <n v="6"/>
    <n v="0"/>
    <n v="17.9634"/>
  </r>
  <r>
    <n v="51"/>
    <s v="CA-2015-115742"/>
    <d v="2015-04-18T00:00:00"/>
    <d v="2015-04-22T00:00:00"/>
    <x v="1"/>
    <s v="DP-13000"/>
    <s v="Darren Powers"/>
    <x v="0"/>
    <s v="United States"/>
    <s v="New Albany"/>
    <x v="14"/>
    <n v="47150"/>
    <x v="2"/>
    <s v="OFF-LA-10002762"/>
    <x v="1"/>
    <x v="2"/>
    <x v="49"/>
    <x v="50"/>
    <n v="6"/>
    <n v="0"/>
    <n v="35.334599999999995"/>
  </r>
  <r>
    <n v="52"/>
    <s v="CA-2015-115742"/>
    <d v="2015-04-18T00:00:00"/>
    <d v="2015-04-22T00:00:00"/>
    <x v="1"/>
    <s v="DP-13000"/>
    <s v="Darren Powers"/>
    <x v="0"/>
    <s v="United States"/>
    <s v="New Albany"/>
    <x v="14"/>
    <n v="47150"/>
    <x v="2"/>
    <s v="FUR-FU-10001706"/>
    <x v="0"/>
    <x v="5"/>
    <x v="50"/>
    <x v="51"/>
    <n v="2"/>
    <n v="0"/>
    <n v="2.9567999999999999"/>
  </r>
  <r>
    <n v="53"/>
    <s v="CA-2015-115742"/>
    <d v="2015-04-18T00:00:00"/>
    <d v="2015-04-22T00:00:00"/>
    <x v="1"/>
    <s v="DP-13000"/>
    <s v="Darren Powers"/>
    <x v="0"/>
    <s v="United States"/>
    <s v="New Albany"/>
    <x v="14"/>
    <n v="47150"/>
    <x v="2"/>
    <s v="FUR-CH-10003061"/>
    <x v="0"/>
    <x v="1"/>
    <x v="51"/>
    <x v="52"/>
    <n v="1"/>
    <n v="0"/>
    <n v="17.098099999999988"/>
  </r>
  <r>
    <n v="54"/>
    <s v="CA-2016-105816"/>
    <d v="2016-12-11T00:00:00"/>
    <d v="2016-12-17T00:00:00"/>
    <x v="1"/>
    <s v="JM-15265"/>
    <s v="Janet Molinari"/>
    <x v="1"/>
    <s v="United States"/>
    <s v="New York City"/>
    <x v="15"/>
    <n v="10024"/>
    <x v="3"/>
    <s v="OFF-FA-10000304"/>
    <x v="1"/>
    <x v="13"/>
    <x v="52"/>
    <x v="53"/>
    <n v="7"/>
    <n v="0"/>
    <n v="6.2566000000000006"/>
  </r>
  <r>
    <n v="55"/>
    <s v="CA-2016-105816"/>
    <d v="2016-12-11T00:00:00"/>
    <d v="2016-12-17T00:00:00"/>
    <x v="1"/>
    <s v="JM-15265"/>
    <s v="Janet Molinari"/>
    <x v="1"/>
    <s v="United States"/>
    <s v="New York City"/>
    <x v="15"/>
    <n v="10024"/>
    <x v="3"/>
    <s v="TEC-PH-10002447"/>
    <x v="2"/>
    <x v="7"/>
    <x v="53"/>
    <x v="54"/>
    <n v="5"/>
    <n v="0"/>
    <n v="298.68549999999999"/>
  </r>
  <r>
    <n v="56"/>
    <s v="CA-2016-111682"/>
    <d v="2016-06-17T00:00:00"/>
    <d v="2016-06-18T00:00:00"/>
    <x v="2"/>
    <s v="TB-21055"/>
    <s v="Ted Butterfield"/>
    <x v="0"/>
    <s v="United States"/>
    <s v="Troy"/>
    <x v="15"/>
    <n v="12180"/>
    <x v="3"/>
    <s v="OFF-ST-10000604"/>
    <x v="1"/>
    <x v="4"/>
    <x v="54"/>
    <x v="55"/>
    <n v="6"/>
    <n v="0"/>
    <n v="52.139999999999986"/>
  </r>
  <r>
    <n v="57"/>
    <s v="CA-2016-111682"/>
    <d v="2016-06-17T00:00:00"/>
    <d v="2016-06-18T00:00:00"/>
    <x v="2"/>
    <s v="TB-21055"/>
    <s v="Ted Butterfield"/>
    <x v="0"/>
    <s v="United States"/>
    <s v="Troy"/>
    <x v="15"/>
    <n v="12180"/>
    <x v="3"/>
    <s v="OFF-PA-10001569"/>
    <x v="1"/>
    <x v="10"/>
    <x v="55"/>
    <x v="56"/>
    <n v="5"/>
    <n v="0"/>
    <n v="15.552000000000001"/>
  </r>
  <r>
    <n v="58"/>
    <s v="CA-2016-111682"/>
    <d v="2016-06-17T00:00:00"/>
    <d v="2016-06-18T00:00:00"/>
    <x v="2"/>
    <s v="TB-21055"/>
    <s v="Ted Butterfield"/>
    <x v="0"/>
    <s v="United States"/>
    <s v="Troy"/>
    <x v="15"/>
    <n v="12180"/>
    <x v="3"/>
    <s v="FUR-CH-10003968"/>
    <x v="0"/>
    <x v="1"/>
    <x v="56"/>
    <x v="57"/>
    <n v="5"/>
    <n v="0.1"/>
    <n v="7.0980000000000061"/>
  </r>
  <r>
    <n v="59"/>
    <s v="CA-2016-111682"/>
    <d v="2016-06-17T00:00:00"/>
    <d v="2016-06-18T00:00:00"/>
    <x v="2"/>
    <s v="TB-21055"/>
    <s v="Ted Butterfield"/>
    <x v="0"/>
    <s v="United States"/>
    <s v="Troy"/>
    <x v="15"/>
    <n v="12180"/>
    <x v="3"/>
    <s v="OFF-PA-10000587"/>
    <x v="1"/>
    <x v="10"/>
    <x v="57"/>
    <x v="58"/>
    <n v="2"/>
    <n v="0"/>
    <n v="6.9888000000000003"/>
  </r>
  <r>
    <n v="60"/>
    <s v="CA-2016-111682"/>
    <d v="2016-06-17T00:00:00"/>
    <d v="2016-06-18T00:00:00"/>
    <x v="2"/>
    <s v="TB-21055"/>
    <s v="Ted Butterfield"/>
    <x v="0"/>
    <s v="United States"/>
    <s v="Troy"/>
    <x v="15"/>
    <n v="12180"/>
    <x v="3"/>
    <s v="TEC-AC-10002167"/>
    <x v="2"/>
    <x v="11"/>
    <x v="46"/>
    <x v="59"/>
    <n v="2"/>
    <n v="0"/>
    <n v="3.3000000000000007"/>
  </r>
  <r>
    <n v="61"/>
    <s v="CA-2016-111682"/>
    <d v="2016-06-17T00:00:00"/>
    <d v="2016-06-18T00:00:00"/>
    <x v="2"/>
    <s v="TB-21055"/>
    <s v="Ted Butterfield"/>
    <x v="0"/>
    <s v="United States"/>
    <s v="Troy"/>
    <x v="15"/>
    <n v="12180"/>
    <x v="3"/>
    <s v="OFF-BI-10001460"/>
    <x v="1"/>
    <x v="8"/>
    <x v="58"/>
    <x v="60"/>
    <n v="4"/>
    <n v="0.2"/>
    <n v="16.361999999999998"/>
  </r>
  <r>
    <n v="62"/>
    <s v="CA-2016-111682"/>
    <d v="2016-06-17T00:00:00"/>
    <d v="2016-06-18T00:00:00"/>
    <x v="2"/>
    <s v="TB-21055"/>
    <s v="Ted Butterfield"/>
    <x v="0"/>
    <s v="United States"/>
    <s v="Troy"/>
    <x v="15"/>
    <n v="12180"/>
    <x v="3"/>
    <s v="OFF-AR-10001868"/>
    <x v="1"/>
    <x v="6"/>
    <x v="59"/>
    <x v="61"/>
    <n v="1"/>
    <n v="0"/>
    <n v="0.84"/>
  </r>
  <r>
    <n v="63"/>
    <s v="CA-2015-135545"/>
    <d v="2015-11-24T00:00:00"/>
    <d v="2015-11-30T00:00:00"/>
    <x v="1"/>
    <s v="KM-16720"/>
    <s v="Kunst Miller"/>
    <x v="0"/>
    <s v="United States"/>
    <s v="Los Angeles"/>
    <x v="1"/>
    <n v="90004"/>
    <x v="1"/>
    <s v="TEC-AC-10004633"/>
    <x v="2"/>
    <x v="11"/>
    <x v="60"/>
    <x v="62"/>
    <n v="2"/>
    <n v="0"/>
    <n v="6.1512000000000011"/>
  </r>
  <r>
    <n v="64"/>
    <s v="CA-2015-135545"/>
    <d v="2015-11-24T00:00:00"/>
    <d v="2015-11-30T00:00:00"/>
    <x v="1"/>
    <s v="KM-16720"/>
    <s v="Kunst Miller"/>
    <x v="0"/>
    <s v="United States"/>
    <s v="Los Angeles"/>
    <x v="1"/>
    <n v="90004"/>
    <x v="1"/>
    <s v="OFF-BI-10001078"/>
    <x v="1"/>
    <x v="8"/>
    <x v="61"/>
    <x v="63"/>
    <n v="6"/>
    <n v="0.2"/>
    <n v="9.3612000000000002"/>
  </r>
  <r>
    <n v="65"/>
    <s v="CA-2015-135545"/>
    <d v="2015-11-24T00:00:00"/>
    <d v="2015-11-30T00:00:00"/>
    <x v="1"/>
    <s v="KM-16720"/>
    <s v="Kunst Miller"/>
    <x v="0"/>
    <s v="United States"/>
    <s v="Los Angeles"/>
    <x v="1"/>
    <n v="90004"/>
    <x v="1"/>
    <s v="OFF-PA-10003892"/>
    <x v="1"/>
    <x v="10"/>
    <x v="62"/>
    <x v="64"/>
    <n v="3"/>
    <n v="0"/>
    <n v="68.963099999999997"/>
  </r>
  <r>
    <n v="66"/>
    <s v="CA-2015-135545"/>
    <d v="2015-11-24T00:00:00"/>
    <d v="2015-11-30T00:00:00"/>
    <x v="1"/>
    <s v="KM-16720"/>
    <s v="Kunst Miller"/>
    <x v="0"/>
    <s v="United States"/>
    <s v="Los Angeles"/>
    <x v="1"/>
    <n v="90004"/>
    <x v="1"/>
    <s v="FUR-FU-10000397"/>
    <x v="0"/>
    <x v="5"/>
    <x v="63"/>
    <x v="65"/>
    <n v="4"/>
    <n v="0"/>
    <n v="22.332800000000006"/>
  </r>
  <r>
    <n v="67"/>
    <s v="US-2015-164175"/>
    <d v="2015-04-30T00:00:00"/>
    <d v="2015-05-05T00:00:00"/>
    <x v="1"/>
    <s v="PS-18970"/>
    <s v="Paul Stevenson"/>
    <x v="2"/>
    <s v="United States"/>
    <s v="Chicago"/>
    <x v="10"/>
    <n v="60610"/>
    <x v="2"/>
    <s v="FUR-CH-10001146"/>
    <x v="0"/>
    <x v="1"/>
    <x v="64"/>
    <x v="66"/>
    <n v="5"/>
    <n v="0.3"/>
    <n v="-15.222500000000011"/>
  </r>
  <r>
    <n v="68"/>
    <s v="CA-2014-106376"/>
    <d v="2014-12-05T00:00:00"/>
    <d v="2014-12-10T00:00:00"/>
    <x v="1"/>
    <s v="BS-11590"/>
    <s v="Brendan Sweed"/>
    <x v="1"/>
    <s v="United States"/>
    <s v="Gilbert"/>
    <x v="16"/>
    <n v="85234"/>
    <x v="1"/>
    <s v="OFF-AR-10002671"/>
    <x v="1"/>
    <x v="6"/>
    <x v="65"/>
    <x v="67"/>
    <n v="8"/>
    <n v="0.2"/>
    <n v="111.30239999999998"/>
  </r>
  <r>
    <n v="69"/>
    <s v="CA-2014-106376"/>
    <d v="2014-12-05T00:00:00"/>
    <d v="2014-12-10T00:00:00"/>
    <x v="1"/>
    <s v="BS-11590"/>
    <s v="Brendan Sweed"/>
    <x v="1"/>
    <s v="United States"/>
    <s v="Gilbert"/>
    <x v="16"/>
    <n v="85234"/>
    <x v="1"/>
    <s v="TEC-PH-10002726"/>
    <x v="2"/>
    <x v="7"/>
    <x v="66"/>
    <x v="68"/>
    <n v="4"/>
    <n v="0.2"/>
    <n v="62.988"/>
  </r>
  <r>
    <n v="70"/>
    <s v="CA-2016-119823"/>
    <d v="2016-06-04T00:00:00"/>
    <d v="2016-06-06T00:00:00"/>
    <x v="2"/>
    <s v="KD-16270"/>
    <s v="Karen Daniels"/>
    <x v="0"/>
    <s v="United States"/>
    <s v="Springfield"/>
    <x v="17"/>
    <n v="22153"/>
    <x v="0"/>
    <s v="OFF-PA-10000482"/>
    <x v="1"/>
    <x v="10"/>
    <x v="67"/>
    <x v="69"/>
    <n v="2"/>
    <n v="0"/>
    <n v="35.663599999999995"/>
  </r>
  <r>
    <n v="71"/>
    <s v="CA-2016-106075"/>
    <d v="2016-09-18T00:00:00"/>
    <d v="2016-09-23T00:00:00"/>
    <x v="1"/>
    <s v="HM-14980"/>
    <s v="Henry MacAllister"/>
    <x v="0"/>
    <s v="United States"/>
    <s v="New York City"/>
    <x v="15"/>
    <n v="10009"/>
    <x v="3"/>
    <s v="OFF-BI-10004654"/>
    <x v="1"/>
    <x v="8"/>
    <x v="68"/>
    <x v="70"/>
    <n v="1"/>
    <n v="0.2"/>
    <n v="1.7309999999999999"/>
  </r>
  <r>
    <n v="72"/>
    <s v="CA-2017-114440"/>
    <d v="2017-09-14T00:00:00"/>
    <d v="2017-09-17T00:00:00"/>
    <x v="0"/>
    <s v="TB-21520"/>
    <s v="Tracy Blumstein"/>
    <x v="0"/>
    <s v="United States"/>
    <s v="Jackson"/>
    <x v="12"/>
    <n v="49201"/>
    <x v="2"/>
    <s v="OFF-PA-10004675"/>
    <x v="1"/>
    <x v="10"/>
    <x v="69"/>
    <x v="71"/>
    <n v="3"/>
    <n v="0"/>
    <n v="8.7629999999999999"/>
  </r>
  <r>
    <n v="73"/>
    <s v="US-2015-134026"/>
    <d v="2015-04-26T00:00:00"/>
    <d v="2015-05-02T00:00:00"/>
    <x v="1"/>
    <s v="JE-15745"/>
    <s v="Joel Eaton"/>
    <x v="0"/>
    <s v="United States"/>
    <s v="Memphis"/>
    <x v="18"/>
    <n v="38109"/>
    <x v="0"/>
    <s v="FUR-CH-10000513"/>
    <x v="0"/>
    <x v="1"/>
    <x v="70"/>
    <x v="72"/>
    <n v="8"/>
    <n v="0.2"/>
    <n v="-114.39120000000003"/>
  </r>
  <r>
    <n v="74"/>
    <s v="US-2015-134026"/>
    <d v="2015-04-26T00:00:00"/>
    <d v="2015-05-02T00:00:00"/>
    <x v="1"/>
    <s v="JE-15745"/>
    <s v="Joel Eaton"/>
    <x v="0"/>
    <s v="United States"/>
    <s v="Memphis"/>
    <x v="18"/>
    <n v="38109"/>
    <x v="0"/>
    <s v="FUR-FU-10003708"/>
    <x v="0"/>
    <x v="5"/>
    <x v="71"/>
    <x v="73"/>
    <n v="2"/>
    <n v="0.2"/>
    <n v="1.2129999999999974"/>
  </r>
  <r>
    <n v="75"/>
    <s v="US-2015-134026"/>
    <d v="2015-04-26T00:00:00"/>
    <d v="2015-05-02T00:00:00"/>
    <x v="1"/>
    <s v="JE-15745"/>
    <s v="Joel Eaton"/>
    <x v="0"/>
    <s v="United States"/>
    <s v="Memphis"/>
    <x v="18"/>
    <n v="38109"/>
    <x v="0"/>
    <s v="OFF-ST-10004123"/>
    <x v="1"/>
    <x v="4"/>
    <x v="72"/>
    <x v="74"/>
    <n v="1"/>
    <n v="0.2"/>
    <n v="-18.196000000000002"/>
  </r>
  <r>
    <n v="76"/>
    <s v="US-2017-118038"/>
    <d v="2017-12-09T00:00:00"/>
    <d v="2017-12-11T00:00:00"/>
    <x v="2"/>
    <s v="KB-16600"/>
    <s v="Ken Brennan"/>
    <x v="1"/>
    <s v="United States"/>
    <s v="Houston"/>
    <x v="5"/>
    <n v="77041"/>
    <x v="2"/>
    <s v="OFF-BI-10004182"/>
    <x v="1"/>
    <x v="8"/>
    <x v="73"/>
    <x v="75"/>
    <n v="3"/>
    <n v="0.8"/>
    <n v="-1.9344000000000006"/>
  </r>
  <r>
    <n v="77"/>
    <s v="US-2017-118038"/>
    <d v="2017-12-09T00:00:00"/>
    <d v="2017-12-11T00:00:00"/>
    <x v="2"/>
    <s v="KB-16600"/>
    <s v="Ken Brennan"/>
    <x v="1"/>
    <s v="United States"/>
    <s v="Houston"/>
    <x v="5"/>
    <n v="77041"/>
    <x v="2"/>
    <s v="FUR-FU-10000260"/>
    <x v="0"/>
    <x v="5"/>
    <x v="74"/>
    <x v="76"/>
    <n v="3"/>
    <n v="0.6"/>
    <n v="-5.8248000000000015"/>
  </r>
  <r>
    <n v="78"/>
    <s v="US-2017-118038"/>
    <d v="2017-12-09T00:00:00"/>
    <d v="2017-12-11T00:00:00"/>
    <x v="2"/>
    <s v="KB-16600"/>
    <s v="Ken Brennan"/>
    <x v="1"/>
    <s v="United States"/>
    <s v="Houston"/>
    <x v="5"/>
    <n v="77041"/>
    <x v="2"/>
    <s v="OFF-ST-10000615"/>
    <x v="1"/>
    <x v="4"/>
    <x v="75"/>
    <x v="77"/>
    <n v="3"/>
    <n v="0.2"/>
    <n v="2.724000000000002"/>
  </r>
  <r>
    <n v="79"/>
    <s v="US-2014-147606"/>
    <d v="2014-11-26T00:00:00"/>
    <d v="2014-12-01T00:00:00"/>
    <x v="0"/>
    <s v="JE-15745"/>
    <s v="Joel Eaton"/>
    <x v="0"/>
    <s v="United States"/>
    <s v="Houston"/>
    <x v="5"/>
    <n v="77070"/>
    <x v="2"/>
    <s v="FUR-FU-10003194"/>
    <x v="0"/>
    <x v="5"/>
    <x v="76"/>
    <x v="78"/>
    <n v="5"/>
    <n v="0.6"/>
    <n v="-14.475000000000001"/>
  </r>
  <r>
    <n v="80"/>
    <s v="CA-2016-127208"/>
    <d v="2016-06-12T00:00:00"/>
    <d v="2016-06-15T00:00:00"/>
    <x v="2"/>
    <s v="SC-20770"/>
    <s v="Stewart Carmichael"/>
    <x v="1"/>
    <s v="United States"/>
    <s v="Decatur"/>
    <x v="19"/>
    <n v="35601"/>
    <x v="0"/>
    <s v="OFF-AP-10002118"/>
    <x v="1"/>
    <x v="9"/>
    <x v="77"/>
    <x v="79"/>
    <n v="1"/>
    <n v="0"/>
    <n v="56.20320000000001"/>
  </r>
  <r>
    <n v="81"/>
    <s v="CA-2016-127208"/>
    <d v="2016-06-12T00:00:00"/>
    <d v="2016-06-15T00:00:00"/>
    <x v="2"/>
    <s v="SC-20770"/>
    <s v="Stewart Carmichael"/>
    <x v="1"/>
    <s v="United States"/>
    <s v="Decatur"/>
    <x v="19"/>
    <n v="35601"/>
    <x v="0"/>
    <s v="OFF-BI-10002309"/>
    <x v="1"/>
    <x v="8"/>
    <x v="78"/>
    <x v="80"/>
    <n v="3"/>
    <n v="0"/>
    <n v="8.0351999999999997"/>
  </r>
  <r>
    <n v="82"/>
    <s v="CA-2014-139451"/>
    <d v="2014-10-12T00:00:00"/>
    <d v="2014-10-16T00:00:00"/>
    <x v="1"/>
    <s v="DN-13690"/>
    <s v="Duane Noonan"/>
    <x v="0"/>
    <s v="United States"/>
    <s v="San Francisco"/>
    <x v="1"/>
    <n v="94122"/>
    <x v="1"/>
    <s v="OFF-AR-10002053"/>
    <x v="1"/>
    <x v="6"/>
    <x v="79"/>
    <x v="81"/>
    <n v="5"/>
    <n v="0"/>
    <n v="4.1720000000000006"/>
  </r>
  <r>
    <n v="83"/>
    <s v="CA-2014-139451"/>
    <d v="2014-10-12T00:00:00"/>
    <d v="2014-10-16T00:00:00"/>
    <x v="1"/>
    <s v="DN-13690"/>
    <s v="Duane Noonan"/>
    <x v="0"/>
    <s v="United States"/>
    <s v="San Francisco"/>
    <x v="1"/>
    <n v="94122"/>
    <x v="1"/>
    <s v="OFF-ST-10002370"/>
    <x v="1"/>
    <x v="4"/>
    <x v="80"/>
    <x v="82"/>
    <n v="1"/>
    <n v="0"/>
    <n v="6.2030999999999992"/>
  </r>
  <r>
    <n v="84"/>
    <s v="CA-2015-149734"/>
    <d v="2015-09-03T00:00:00"/>
    <d v="2015-09-08T00:00:00"/>
    <x v="1"/>
    <s v="JC-16105"/>
    <s v="Julie Creighton"/>
    <x v="1"/>
    <s v="United States"/>
    <s v="Durham"/>
    <x v="3"/>
    <n v="27707"/>
    <x v="0"/>
    <s v="OFF-EN-10000927"/>
    <x v="1"/>
    <x v="12"/>
    <x v="81"/>
    <x v="83"/>
    <n v="7"/>
    <n v="0.2"/>
    <n v="62.807499999999976"/>
  </r>
  <r>
    <n v="85"/>
    <s v="US-2017-119662"/>
    <d v="2017-11-13T00:00:00"/>
    <d v="2017-11-16T00:00:00"/>
    <x v="2"/>
    <s v="CS-12400"/>
    <s v="Christopher Schild"/>
    <x v="2"/>
    <s v="United States"/>
    <s v="Chicago"/>
    <x v="10"/>
    <n v="60623"/>
    <x v="2"/>
    <s v="OFF-ST-10003656"/>
    <x v="1"/>
    <x v="4"/>
    <x v="82"/>
    <x v="84"/>
    <n v="3"/>
    <n v="0.2"/>
    <n v="-48.954900000000002"/>
  </r>
  <r>
    <n v="86"/>
    <s v="CA-2017-140088"/>
    <d v="2017-05-28T00:00:00"/>
    <d v="2017-05-30T00:00:00"/>
    <x v="0"/>
    <s v="PO-18865"/>
    <s v="Patrick O'Donnell"/>
    <x v="0"/>
    <s v="United States"/>
    <s v="Columbia"/>
    <x v="20"/>
    <n v="29203"/>
    <x v="0"/>
    <s v="FUR-CH-10000863"/>
    <x v="0"/>
    <x v="1"/>
    <x v="83"/>
    <x v="85"/>
    <n v="2"/>
    <n v="0"/>
    <n v="33.215599999999995"/>
  </r>
  <r>
    <n v="87"/>
    <s v="CA-2017-155558"/>
    <d v="2017-10-26T00:00:00"/>
    <d v="2017-11-02T00:00:00"/>
    <x v="1"/>
    <s v="PG-18895"/>
    <s v="Paul Gonzalez"/>
    <x v="0"/>
    <s v="United States"/>
    <s v="Rochester"/>
    <x v="11"/>
    <n v="55901"/>
    <x v="2"/>
    <s v="TEC-AC-10001998"/>
    <x v="2"/>
    <x v="11"/>
    <x v="84"/>
    <x v="86"/>
    <n v="1"/>
    <n v="0"/>
    <n v="6.796599999999998"/>
  </r>
  <r>
    <n v="88"/>
    <s v="CA-2017-155558"/>
    <d v="2017-10-26T00:00:00"/>
    <d v="2017-11-02T00:00:00"/>
    <x v="1"/>
    <s v="PG-18895"/>
    <s v="Paul Gonzalez"/>
    <x v="0"/>
    <s v="United States"/>
    <s v="Rochester"/>
    <x v="11"/>
    <n v="55901"/>
    <x v="2"/>
    <s v="OFF-LA-10000134"/>
    <x v="1"/>
    <x v="2"/>
    <x v="85"/>
    <x v="51"/>
    <n v="2"/>
    <n v="0"/>
    <n v="2.9567999999999999"/>
  </r>
  <r>
    <n v="89"/>
    <s v="CA-2016-159695"/>
    <d v="2016-04-05T00:00:00"/>
    <d v="2016-04-10T00:00:00"/>
    <x v="0"/>
    <s v="GM-14455"/>
    <s v="Gary Mitchum"/>
    <x v="2"/>
    <s v="United States"/>
    <s v="Houston"/>
    <x v="5"/>
    <n v="77095"/>
    <x v="2"/>
    <s v="OFF-ST-10003442"/>
    <x v="1"/>
    <x v="4"/>
    <x v="86"/>
    <x v="87"/>
    <n v="7"/>
    <n v="0.2"/>
    <n v="13.857199999999999"/>
  </r>
  <r>
    <n v="90"/>
    <s v="CA-2016-109806"/>
    <d v="2016-09-17T00:00:00"/>
    <d v="2016-09-22T00:00:00"/>
    <x v="1"/>
    <s v="JS-15685"/>
    <s v="Jim Sink"/>
    <x v="1"/>
    <s v="United States"/>
    <s v="Los Angeles"/>
    <x v="1"/>
    <n v="90036"/>
    <x v="1"/>
    <s v="OFF-AR-10004930"/>
    <x v="1"/>
    <x v="6"/>
    <x v="87"/>
    <x v="88"/>
    <n v="3"/>
    <n v="0"/>
    <n v="6.6329999999999982"/>
  </r>
  <r>
    <n v="91"/>
    <s v="CA-2016-109806"/>
    <d v="2016-09-17T00:00:00"/>
    <d v="2016-09-22T00:00:00"/>
    <x v="1"/>
    <s v="JS-15685"/>
    <s v="Jim Sink"/>
    <x v="1"/>
    <s v="United States"/>
    <s v="Los Angeles"/>
    <x v="1"/>
    <n v="90036"/>
    <x v="1"/>
    <s v="TEC-PH-10004093"/>
    <x v="2"/>
    <x v="7"/>
    <x v="40"/>
    <x v="89"/>
    <n v="2"/>
    <n v="0.2"/>
    <n v="8.2781999999999982"/>
  </r>
  <r>
    <n v="92"/>
    <s v="CA-2016-109806"/>
    <d v="2016-09-17T00:00:00"/>
    <d v="2016-09-22T00:00:00"/>
    <x v="1"/>
    <s v="JS-15685"/>
    <s v="Jim Sink"/>
    <x v="1"/>
    <s v="United States"/>
    <s v="Los Angeles"/>
    <x v="1"/>
    <n v="90036"/>
    <x v="1"/>
    <s v="OFF-PA-10000304"/>
    <x v="1"/>
    <x v="10"/>
    <x v="88"/>
    <x v="90"/>
    <n v="1"/>
    <n v="0"/>
    <n v="3.1104000000000003"/>
  </r>
  <r>
    <n v="93"/>
    <s v="CA-2015-149587"/>
    <d v="2015-01-31T00:00:00"/>
    <d v="2015-02-05T00:00:00"/>
    <x v="0"/>
    <s v="KB-16315"/>
    <s v="Karl Braun"/>
    <x v="0"/>
    <s v="United States"/>
    <s v="Minneapolis"/>
    <x v="11"/>
    <n v="55407"/>
    <x v="2"/>
    <s v="OFF-PA-10003177"/>
    <x v="1"/>
    <x v="10"/>
    <x v="89"/>
    <x v="91"/>
    <n v="2"/>
    <n v="0"/>
    <n v="6.2208000000000006"/>
  </r>
  <r>
    <n v="94"/>
    <s v="CA-2015-149587"/>
    <d v="2015-01-31T00:00:00"/>
    <d v="2015-02-05T00:00:00"/>
    <x v="0"/>
    <s v="KB-16315"/>
    <s v="Karl Braun"/>
    <x v="0"/>
    <s v="United States"/>
    <s v="Minneapolis"/>
    <x v="11"/>
    <n v="55407"/>
    <x v="2"/>
    <s v="FUR-FU-10003799"/>
    <x v="0"/>
    <x v="5"/>
    <x v="90"/>
    <x v="92"/>
    <n v="3"/>
    <n v="0"/>
    <n v="16.535399999999996"/>
  </r>
  <r>
    <n v="95"/>
    <s v="CA-2015-149587"/>
    <d v="2015-01-31T00:00:00"/>
    <d v="2015-02-05T00:00:00"/>
    <x v="0"/>
    <s v="KB-16315"/>
    <s v="Karl Braun"/>
    <x v="0"/>
    <s v="United States"/>
    <s v="Minneapolis"/>
    <x v="11"/>
    <n v="55407"/>
    <x v="2"/>
    <s v="OFF-BI-10002852"/>
    <x v="1"/>
    <x v="8"/>
    <x v="91"/>
    <x v="93"/>
    <n v="2"/>
    <n v="0"/>
    <n v="16.150400000000001"/>
  </r>
  <r>
    <n v="96"/>
    <s v="US-2017-109484"/>
    <d v="2017-11-06T00:00:00"/>
    <d v="2017-11-12T00:00:00"/>
    <x v="1"/>
    <s v="RB-19705"/>
    <s v="Roger Barcio"/>
    <x v="2"/>
    <s v="United States"/>
    <s v="Portland"/>
    <x v="21"/>
    <n v="97206"/>
    <x v="1"/>
    <s v="OFF-BI-10004738"/>
    <x v="1"/>
    <x v="8"/>
    <x v="92"/>
    <x v="94"/>
    <n v="1"/>
    <n v="0.7"/>
    <n v="-3.7880000000000003"/>
  </r>
  <r>
    <n v="97"/>
    <s v="CA-2017-161018"/>
    <d v="2017-11-09T00:00:00"/>
    <d v="2017-11-11T00:00:00"/>
    <x v="0"/>
    <s v="PN-18775"/>
    <s v="Parhena Norris"/>
    <x v="2"/>
    <s v="United States"/>
    <s v="New York City"/>
    <x v="15"/>
    <n v="10009"/>
    <x v="3"/>
    <s v="FUR-FU-10000629"/>
    <x v="0"/>
    <x v="5"/>
    <x v="93"/>
    <x v="95"/>
    <n v="7"/>
    <n v="0"/>
    <n v="40.5426"/>
  </r>
  <r>
    <n v="98"/>
    <s v="CA-2017-157833"/>
    <d v="2017-06-17T00:00:00"/>
    <d v="2017-06-20T00:00:00"/>
    <x v="2"/>
    <s v="KD-16345"/>
    <s v="Katherine Ducich"/>
    <x v="0"/>
    <s v="United States"/>
    <s v="San Francisco"/>
    <x v="1"/>
    <n v="94122"/>
    <x v="1"/>
    <s v="OFF-BI-10001721"/>
    <x v="1"/>
    <x v="8"/>
    <x v="94"/>
    <x v="96"/>
    <n v="3"/>
    <n v="0.2"/>
    <n v="17.959199999999999"/>
  </r>
  <r>
    <n v="99"/>
    <s v="CA-2016-149223"/>
    <d v="2016-09-06T00:00:00"/>
    <d v="2016-09-11T00:00:00"/>
    <x v="1"/>
    <s v="ER-13855"/>
    <s v="Elpida Rittenbach"/>
    <x v="1"/>
    <s v="United States"/>
    <s v="Saint Paul"/>
    <x v="11"/>
    <n v="55106"/>
    <x v="2"/>
    <s v="OFF-AP-10000358"/>
    <x v="1"/>
    <x v="9"/>
    <x v="95"/>
    <x v="42"/>
    <n v="6"/>
    <n v="0"/>
    <n v="22.585199999999993"/>
  </r>
  <r>
    <n v="100"/>
    <s v="CA-2016-158568"/>
    <d v="2016-08-29T00:00:00"/>
    <d v="2016-09-02T00:00:00"/>
    <x v="1"/>
    <s v="RB-19465"/>
    <s v="Rick Bensley"/>
    <x v="2"/>
    <s v="United States"/>
    <s v="Chicago"/>
    <x v="10"/>
    <n v="60610"/>
    <x v="2"/>
    <s v="OFF-PA-10003256"/>
    <x v="1"/>
    <x v="10"/>
    <x v="96"/>
    <x v="97"/>
    <n v="7"/>
    <n v="0.2"/>
    <n v="22.618399999999994"/>
  </r>
  <r>
    <n v="101"/>
    <s v="CA-2016-158568"/>
    <d v="2016-08-29T00:00:00"/>
    <d v="2016-09-02T00:00:00"/>
    <x v="1"/>
    <s v="RB-19465"/>
    <s v="Rick Bensley"/>
    <x v="2"/>
    <s v="United States"/>
    <s v="Chicago"/>
    <x v="10"/>
    <n v="60610"/>
    <x v="2"/>
    <s v="TEC-AC-10001767"/>
    <x v="2"/>
    <x v="11"/>
    <x v="97"/>
    <x v="98"/>
    <n v="3"/>
    <n v="0.2"/>
    <n v="-10.797300000000011"/>
  </r>
  <r>
    <n v="102"/>
    <s v="CA-2016-158568"/>
    <d v="2016-08-29T00:00:00"/>
    <d v="2016-09-02T00:00:00"/>
    <x v="1"/>
    <s v="RB-19465"/>
    <s v="Rick Bensley"/>
    <x v="2"/>
    <s v="United States"/>
    <s v="Chicago"/>
    <x v="10"/>
    <n v="60610"/>
    <x v="2"/>
    <s v="OFF-BI-10002609"/>
    <x v="1"/>
    <x v="8"/>
    <x v="98"/>
    <x v="99"/>
    <n v="3"/>
    <n v="0.8"/>
    <n v="-3.0396000000000001"/>
  </r>
  <r>
    <n v="103"/>
    <s v="CA-2016-129903"/>
    <d v="2016-12-01T00:00:00"/>
    <d v="2016-12-04T00:00:00"/>
    <x v="0"/>
    <s v="GZ-14470"/>
    <s v="Gary Zandusky"/>
    <x v="0"/>
    <s v="United States"/>
    <s v="Rochester"/>
    <x v="11"/>
    <n v="55901"/>
    <x v="2"/>
    <s v="OFF-PA-10004040"/>
    <x v="1"/>
    <x v="10"/>
    <x v="99"/>
    <x v="100"/>
    <n v="4"/>
    <n v="0"/>
    <n v="11.720800000000001"/>
  </r>
  <r>
    <n v="104"/>
    <s v="US-2015-156867"/>
    <d v="2015-11-13T00:00:00"/>
    <d v="2015-11-17T00:00:00"/>
    <x v="1"/>
    <s v="LC-16870"/>
    <s v="Lena Cacioppo"/>
    <x v="0"/>
    <s v="United States"/>
    <s v="Aurora"/>
    <x v="22"/>
    <n v="80013"/>
    <x v="1"/>
    <s v="TEC-AC-10001552"/>
    <x v="2"/>
    <x v="11"/>
    <x v="100"/>
    <x v="101"/>
    <n v="6"/>
    <n v="0.2"/>
    <n v="-26.875800000000012"/>
  </r>
  <r>
    <n v="105"/>
    <s v="US-2015-156867"/>
    <d v="2015-11-13T00:00:00"/>
    <d v="2015-11-17T00:00:00"/>
    <x v="1"/>
    <s v="LC-16870"/>
    <s v="Lena Cacioppo"/>
    <x v="0"/>
    <s v="United States"/>
    <s v="Aurora"/>
    <x v="22"/>
    <n v="80013"/>
    <x v="1"/>
    <s v="FUR-FU-10004006"/>
    <x v="0"/>
    <x v="5"/>
    <x v="101"/>
    <x v="102"/>
    <n v="3"/>
    <n v="0.2"/>
    <n v="-3.8385000000000105"/>
  </r>
  <r>
    <n v="106"/>
    <s v="US-2015-156867"/>
    <d v="2015-11-13T00:00:00"/>
    <d v="2015-11-17T00:00:00"/>
    <x v="1"/>
    <s v="LC-16870"/>
    <s v="Lena Cacioppo"/>
    <x v="0"/>
    <s v="United States"/>
    <s v="Aurora"/>
    <x v="22"/>
    <n v="80013"/>
    <x v="1"/>
    <s v="OFF-BI-10002794"/>
    <x v="1"/>
    <x v="8"/>
    <x v="102"/>
    <x v="103"/>
    <n v="3"/>
    <n v="0.7"/>
    <n v="-25.817399999999999"/>
  </r>
  <r>
    <n v="107"/>
    <s v="CA-2017-119004"/>
    <d v="2017-11-23T00:00:00"/>
    <d v="2017-11-28T00:00:00"/>
    <x v="1"/>
    <s v="JM-15250"/>
    <s v="Janet Martin"/>
    <x v="0"/>
    <s v="United States"/>
    <s v="Charlotte"/>
    <x v="3"/>
    <n v="28205"/>
    <x v="0"/>
    <s v="TEC-AC-10003499"/>
    <x v="2"/>
    <x v="11"/>
    <x v="103"/>
    <x v="104"/>
    <n v="8"/>
    <n v="0.2"/>
    <n v="17.601600000000001"/>
  </r>
  <r>
    <n v="108"/>
    <s v="CA-2017-119004"/>
    <d v="2017-11-23T00:00:00"/>
    <d v="2017-11-28T00:00:00"/>
    <x v="1"/>
    <s v="JM-15250"/>
    <s v="Janet Martin"/>
    <x v="0"/>
    <s v="United States"/>
    <s v="Charlotte"/>
    <x v="3"/>
    <n v="28205"/>
    <x v="0"/>
    <s v="TEC-PH-10002844"/>
    <x v="2"/>
    <x v="7"/>
    <x v="104"/>
    <x v="105"/>
    <n v="1"/>
    <n v="0.2"/>
    <n v="2.0993999999999993"/>
  </r>
  <r>
    <n v="109"/>
    <s v="CA-2017-119004"/>
    <d v="2017-11-23T00:00:00"/>
    <d v="2017-11-28T00:00:00"/>
    <x v="1"/>
    <s v="JM-15250"/>
    <s v="Janet Martin"/>
    <x v="0"/>
    <s v="United States"/>
    <s v="Charlotte"/>
    <x v="3"/>
    <n v="28205"/>
    <x v="0"/>
    <s v="OFF-AR-10000390"/>
    <x v="1"/>
    <x v="6"/>
    <x v="105"/>
    <x v="106"/>
    <n v="1"/>
    <n v="0.2"/>
    <n v="1.0737999999999999"/>
  </r>
  <r>
    <n v="110"/>
    <s v="CA-2015-129476"/>
    <d v="2015-10-15T00:00:00"/>
    <d v="2015-10-20T00:00:00"/>
    <x v="1"/>
    <s v="PA-19060"/>
    <s v="Pete Armstrong"/>
    <x v="2"/>
    <s v="United States"/>
    <s v="Orland Park"/>
    <x v="10"/>
    <n v="60462"/>
    <x v="2"/>
    <s v="TEC-AC-10000844"/>
    <x v="2"/>
    <x v="11"/>
    <x v="106"/>
    <x v="107"/>
    <n v="5"/>
    <n v="0.2"/>
    <n v="67.991999999999962"/>
  </r>
  <r>
    <n v="111"/>
    <s v="CA-2017-146780"/>
    <d v="2017-12-25T00:00:00"/>
    <d v="2017-12-30T00:00:00"/>
    <x v="1"/>
    <s v="CV-12805"/>
    <s v="Cynthia Voltz"/>
    <x v="1"/>
    <s v="United States"/>
    <s v="New York City"/>
    <x v="15"/>
    <n v="10035"/>
    <x v="3"/>
    <s v="FUR-FU-10001934"/>
    <x v="0"/>
    <x v="5"/>
    <x v="107"/>
    <x v="108"/>
    <n v="2"/>
    <n v="0"/>
    <n v="10.909600000000001"/>
  </r>
  <r>
    <n v="112"/>
    <s v="CA-2016-128867"/>
    <d v="2016-11-03T00:00:00"/>
    <d v="2016-11-10T00:00:00"/>
    <x v="1"/>
    <s v="CL-12565"/>
    <s v="Clay Ludtke"/>
    <x v="0"/>
    <s v="United States"/>
    <s v="Urbandale"/>
    <x v="23"/>
    <n v="50322"/>
    <x v="2"/>
    <s v="OFF-AR-10000380"/>
    <x v="1"/>
    <x v="6"/>
    <x v="108"/>
    <x v="109"/>
    <n v="2"/>
    <n v="0"/>
    <n v="22.78799999999999"/>
  </r>
  <r>
    <n v="113"/>
    <s v="CA-2016-128867"/>
    <d v="2016-11-03T00:00:00"/>
    <d v="2016-11-10T00:00:00"/>
    <x v="1"/>
    <s v="CL-12565"/>
    <s v="Clay Ludtke"/>
    <x v="0"/>
    <s v="United States"/>
    <s v="Urbandale"/>
    <x v="23"/>
    <n v="50322"/>
    <x v="2"/>
    <s v="OFF-BI-10003981"/>
    <x v="1"/>
    <x v="8"/>
    <x v="109"/>
    <x v="77"/>
    <n v="6"/>
    <n v="0"/>
    <n v="13.3476"/>
  </r>
  <r>
    <n v="114"/>
    <s v="CA-2014-115259"/>
    <d v="2014-08-25T00:00:00"/>
    <d v="2014-08-27T00:00:00"/>
    <x v="0"/>
    <s v="RC-19960"/>
    <s v="Ryan Crowe"/>
    <x v="0"/>
    <s v="United States"/>
    <s v="Columbus"/>
    <x v="24"/>
    <n v="43229"/>
    <x v="3"/>
    <s v="OFF-FA-10000621"/>
    <x v="1"/>
    <x v="13"/>
    <x v="110"/>
    <x v="110"/>
    <n v="14"/>
    <n v="0.2"/>
    <n v="14.534799999999997"/>
  </r>
  <r>
    <n v="115"/>
    <s v="CA-2014-115259"/>
    <d v="2014-08-25T00:00:00"/>
    <d v="2014-08-27T00:00:00"/>
    <x v="0"/>
    <s v="RC-19960"/>
    <s v="Ryan Crowe"/>
    <x v="0"/>
    <s v="United States"/>
    <s v="Columbus"/>
    <x v="24"/>
    <n v="43229"/>
    <x v="3"/>
    <s v="OFF-EN-10002600"/>
    <x v="1"/>
    <x v="12"/>
    <x v="111"/>
    <x v="111"/>
    <n v="2"/>
    <n v="0.2"/>
    <n v="1.6519999999999997"/>
  </r>
  <r>
    <n v="116"/>
    <s v="CA-2014-115259"/>
    <d v="2014-08-25T00:00:00"/>
    <d v="2014-08-27T00:00:00"/>
    <x v="0"/>
    <s v="RC-19960"/>
    <s v="Ryan Crowe"/>
    <x v="0"/>
    <s v="United States"/>
    <s v="Columbus"/>
    <x v="24"/>
    <n v="43229"/>
    <x v="3"/>
    <s v="OFF-PA-10004965"/>
    <x v="1"/>
    <x v="10"/>
    <x v="112"/>
    <x v="112"/>
    <n v="3"/>
    <n v="0.2"/>
    <n v="7.4924999999999988"/>
  </r>
  <r>
    <n v="117"/>
    <s v="CA-2014-115259"/>
    <d v="2014-08-25T00:00:00"/>
    <d v="2014-08-27T00:00:00"/>
    <x v="0"/>
    <s v="RC-19960"/>
    <s v="Ryan Crowe"/>
    <x v="0"/>
    <s v="United States"/>
    <s v="Columbus"/>
    <x v="24"/>
    <n v="43229"/>
    <x v="3"/>
    <s v="OFF-EN-10002504"/>
    <x v="1"/>
    <x v="12"/>
    <x v="113"/>
    <x v="113"/>
    <n v="6"/>
    <n v="0.2"/>
    <n v="44.031599999999997"/>
  </r>
  <r>
    <n v="118"/>
    <s v="CA-2015-110457"/>
    <d v="2015-03-02T00:00:00"/>
    <d v="2015-03-06T00:00:00"/>
    <x v="1"/>
    <s v="DK-13090"/>
    <s v="Dave Kipp"/>
    <x v="0"/>
    <s v="United States"/>
    <s v="Seattle"/>
    <x v="4"/>
    <n v="98103"/>
    <x v="1"/>
    <s v="FUR-TA-10001768"/>
    <x v="0"/>
    <x v="3"/>
    <x v="114"/>
    <x v="114"/>
    <n v="3"/>
    <n v="0"/>
    <n v="165.38129999999995"/>
  </r>
  <r>
    <n v="119"/>
    <s v="US-2015-136476"/>
    <d v="2015-04-05T00:00:00"/>
    <d v="2015-04-10T00:00:00"/>
    <x v="1"/>
    <s v="GG-14650"/>
    <s v="Greg Guthrie"/>
    <x v="1"/>
    <s v="United States"/>
    <s v="Bristol"/>
    <x v="18"/>
    <n v="37620"/>
    <x v="0"/>
    <s v="OFF-BI-10003650"/>
    <x v="1"/>
    <x v="8"/>
    <x v="115"/>
    <x v="115"/>
    <n v="1"/>
    <n v="0.7"/>
    <n v="-115.71559999999999"/>
  </r>
  <r>
    <n v="120"/>
    <s v="CA-2016-103730"/>
    <d v="2016-06-12T00:00:00"/>
    <d v="2016-06-15T00:00:00"/>
    <x v="2"/>
    <s v="SC-20725"/>
    <s v="Steven Cartwright"/>
    <x v="0"/>
    <s v="United States"/>
    <s v="Wilmington"/>
    <x v="13"/>
    <n v="19805"/>
    <x v="3"/>
    <s v="FUR-FU-10002157"/>
    <x v="0"/>
    <x v="5"/>
    <x v="116"/>
    <x v="116"/>
    <n v="3"/>
    <n v="0"/>
    <n v="18.3455999999999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325F82-48FE-45B1-BA03-20D62FA68E09}" name="PivotTable6"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M2:N29" firstHeaderRow="2" firstDataRow="2" firstDataCol="1"/>
  <pivotFields count="21">
    <pivotField compact="0" outline="0" showAll="0" includeNewItemsInFilter="1"/>
    <pivotField compact="0" outline="0" showAll="0" includeNewItemsInFilter="1"/>
    <pivotField compact="0" numFmtId="14" outline="0" showAll="0" includeNewItemsInFilter="1"/>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26">
        <item x="19"/>
        <item x="16"/>
        <item x="1"/>
        <item x="22"/>
        <item x="13"/>
        <item x="2"/>
        <item x="10"/>
        <item x="14"/>
        <item x="23"/>
        <item x="0"/>
        <item x="12"/>
        <item x="11"/>
        <item x="8"/>
        <item x="15"/>
        <item x="3"/>
        <item x="24"/>
        <item x="21"/>
        <item x="9"/>
        <item x="20"/>
        <item x="18"/>
        <item x="5"/>
        <item x="7"/>
        <item x="17"/>
        <item x="4"/>
        <item x="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10"/>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dataFields count="1">
    <dataField name="Sum of Sales" fld="17"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58DA1A-6366-49B1-B106-33D7ED1F5C55}" name="PivotTable4"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4">
  <location ref="A13:B18" firstHeaderRow="2" firstDataRow="2" firstDataCol="1"/>
  <pivotFields count="21">
    <pivotField compact="0" outline="0" showAll="0" includeNewItemsInFilter="1"/>
    <pivotField compact="0" outline="0" showAll="0" includeNewItemsInFilter="1"/>
    <pivotField compact="0" numFmtId="14" outline="0" showAll="0" includeNewItemsInFilter="1"/>
    <pivotField compact="0" numFmtId="14"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2"/>
        <item h="1" x="3"/>
        <item h="1" x="0"/>
        <item h="1"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items count="118">
        <item x="75"/>
        <item x="61"/>
        <item x="99"/>
        <item x="15"/>
        <item x="30"/>
        <item x="106"/>
        <item x="70"/>
        <item x="111"/>
        <item x="94"/>
        <item x="51"/>
        <item x="90"/>
        <item x="32"/>
        <item x="6"/>
        <item x="18"/>
        <item x="28"/>
        <item x="76"/>
        <item x="25"/>
        <item x="91"/>
        <item x="62"/>
        <item x="58"/>
        <item x="2"/>
        <item x="81"/>
        <item x="53"/>
        <item x="12"/>
        <item x="33"/>
        <item x="80"/>
        <item x="45"/>
        <item x="8"/>
        <item x="71"/>
        <item x="78"/>
        <item x="21"/>
        <item x="86"/>
        <item x="88"/>
        <item x="82"/>
        <item x="48"/>
        <item x="4"/>
        <item x="20"/>
        <item x="100"/>
        <item x="112"/>
        <item x="63"/>
        <item x="77"/>
        <item x="105"/>
        <item x="34"/>
        <item x="59"/>
        <item x="56"/>
        <item x="93"/>
        <item x="103"/>
        <item x="49"/>
        <item x="110"/>
        <item x="108"/>
        <item x="47"/>
        <item x="44"/>
        <item x="116"/>
        <item x="60"/>
        <item x="5"/>
        <item x="96"/>
        <item x="92"/>
        <item x="17"/>
        <item x="22"/>
        <item x="97"/>
        <item x="14"/>
        <item x="23"/>
        <item x="74"/>
        <item x="89"/>
        <item x="104"/>
        <item x="50"/>
        <item x="69"/>
        <item x="109"/>
        <item x="42"/>
        <item x="65"/>
        <item x="31"/>
        <item x="52"/>
        <item x="26"/>
        <item x="43"/>
        <item x="98"/>
        <item x="95"/>
        <item x="73"/>
        <item x="102"/>
        <item x="37"/>
        <item x="9"/>
        <item x="29"/>
        <item x="113"/>
        <item x="64"/>
        <item x="41"/>
        <item x="115"/>
        <item x="87"/>
        <item x="68"/>
        <item x="36"/>
        <item x="83"/>
        <item x="79"/>
        <item x="55"/>
        <item x="46"/>
        <item x="39"/>
        <item x="66"/>
        <item x="19"/>
        <item x="84"/>
        <item x="101"/>
        <item x="0"/>
        <item x="85"/>
        <item x="57"/>
        <item x="107"/>
        <item x="40"/>
        <item x="13"/>
        <item x="38"/>
        <item x="16"/>
        <item x="1"/>
        <item x="114"/>
        <item x="72"/>
        <item x="7"/>
        <item x="11"/>
        <item x="3"/>
        <item x="54"/>
        <item x="24"/>
        <item x="35"/>
        <item x="67"/>
        <item x="10"/>
        <item x="27"/>
        <item t="default"/>
      </items>
    </pivotField>
    <pivotField compact="0" outline="0" showAll="0" includeNewItemsInFilter="1"/>
    <pivotField compact="0" outline="0" showAll="0" includeNewItemsInFilter="1"/>
    <pivotField compact="0" outline="0" showAll="0" includeNewItemsInFilter="1"/>
  </pivotFields>
  <rowFields count="1">
    <field x="7"/>
  </rowFields>
  <rowItems count="4">
    <i>
      <x/>
    </i>
    <i>
      <x v="1"/>
    </i>
    <i>
      <x v="2"/>
    </i>
    <i t="grand">
      <x/>
    </i>
  </rowItems>
  <colItems count="1">
    <i/>
  </colItems>
  <dataFields count="1">
    <dataField name="Sum of Sales" fld="17"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F75C108-C1FB-40A1-BF42-3D7BD841AB20}" name="PivotTable5"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5">
  <location ref="J3:K15" firstHeaderRow="2" firstDataRow="2" firstDataCol="1"/>
  <pivotFields count="21">
    <pivotField compact="0" outline="0" showAll="0" includeNewItemsInFilter="1"/>
    <pivotField compact="0" outline="0" showAll="0" includeNewItemsInFilter="1"/>
    <pivotField compact="0" numFmtId="14" outline="0" showAll="0" includeNewItemsInFilter="1"/>
    <pivotField compact="0" numFmtId="14" outline="0" showAll="0" includeNewItemsInFilter="1"/>
    <pivotField compact="0" outline="0" showAll="0" includeNewItemsInFilter="1">
      <items count="4">
        <item h="1" x="2"/>
        <item x="0"/>
        <item h="1"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measureFilter="1" includeNewItemsInFilter="1" sortType="descending" rankBy="0">
      <items count="118">
        <item x="55"/>
        <item x="89"/>
        <item x="88"/>
        <item x="12"/>
        <item x="62"/>
        <item x="112"/>
        <item x="44"/>
        <item x="20"/>
        <item x="24"/>
        <item x="60"/>
        <item x="43"/>
        <item x="99"/>
        <item x="113"/>
        <item x="87"/>
        <item x="94"/>
        <item x="71"/>
        <item x="69"/>
        <item x="16"/>
        <item x="15"/>
        <item x="104"/>
        <item x="80"/>
        <item x="67"/>
        <item x="75"/>
        <item x="90"/>
        <item x="2"/>
        <item x="97"/>
        <item x="72"/>
        <item x="82"/>
        <item x="26"/>
        <item x="111"/>
        <item x="79"/>
        <item x="59"/>
        <item x="29"/>
        <item x="58"/>
        <item x="39"/>
        <item x="40"/>
        <item x="110"/>
        <item x="56"/>
        <item x="83"/>
        <item x="105"/>
        <item x="18"/>
        <item x="6"/>
        <item x="21"/>
        <item x="66"/>
        <item x="7"/>
        <item x="103"/>
        <item x="107"/>
        <item x="63"/>
        <item x="32"/>
        <item x="50"/>
        <item x="84"/>
        <item x="106"/>
        <item x="100"/>
        <item x="47"/>
        <item x="11"/>
        <item x="81"/>
        <item x="25"/>
        <item x="46"/>
        <item x="91"/>
        <item x="108"/>
        <item x="65"/>
        <item x="28"/>
        <item x="114"/>
        <item x="1"/>
        <item x="54"/>
        <item x="14"/>
        <item x="70"/>
        <item x="45"/>
        <item x="64"/>
        <item x="51"/>
        <item x="38"/>
        <item x="23"/>
        <item x="34"/>
        <item x="115"/>
        <item x="92"/>
        <item x="17"/>
        <item x="13"/>
        <item x="95"/>
        <item x="35"/>
        <item x="86"/>
        <item x="4"/>
        <item x="5"/>
        <item x="76"/>
        <item x="41"/>
        <item x="73"/>
        <item x="33"/>
        <item x="8"/>
        <item x="101"/>
        <item x="48"/>
        <item x="19"/>
        <item x="10"/>
        <item x="0"/>
        <item x="3"/>
        <item x="30"/>
        <item x="9"/>
        <item x="102"/>
        <item x="27"/>
        <item x="96"/>
        <item x="98"/>
        <item x="78"/>
        <item x="109"/>
        <item x="68"/>
        <item x="85"/>
        <item x="49"/>
        <item x="37"/>
        <item x="53"/>
        <item x="116"/>
        <item x="57"/>
        <item x="52"/>
        <item x="42"/>
        <item x="22"/>
        <item x="61"/>
        <item x="31"/>
        <item x="93"/>
        <item x="74"/>
        <item x="77"/>
        <item x="36"/>
        <item t="default"/>
      </items>
    </pivotField>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16"/>
  </rowFields>
  <rowItems count="11">
    <i>
      <x v="28"/>
    </i>
    <i>
      <x v="44"/>
    </i>
    <i>
      <x v="54"/>
    </i>
    <i>
      <x v="60"/>
    </i>
    <i>
      <x v="62"/>
    </i>
    <i>
      <x v="66"/>
    </i>
    <i>
      <x v="72"/>
    </i>
    <i>
      <x v="90"/>
    </i>
    <i>
      <x v="92"/>
    </i>
    <i>
      <x v="105"/>
    </i>
    <i t="grand">
      <x/>
    </i>
  </rowItems>
  <colItems count="1">
    <i/>
  </colItems>
  <dataFields count="1">
    <dataField name="Sum of Sales" fld="17" baseField="0" baseItem="0"/>
  </dataFields>
  <chartFormats count="7">
    <chartFormat chart="4" format="0"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1" format="5">
      <pivotArea type="data" outline="0" fieldPosition="0">
        <references count="2">
          <reference field="4294967294" count="1" selected="0">
            <x v="0"/>
          </reference>
          <reference field="16" count="1" selected="0">
            <x v="105"/>
          </reference>
        </references>
      </pivotArea>
    </chartFormat>
    <chartFormat chart="11" format="6">
      <pivotArea type="data" outline="0" fieldPosition="0">
        <references count="2">
          <reference field="4294967294" count="1" selected="0">
            <x v="0"/>
          </reference>
          <reference field="16" count="1" selected="0">
            <x v="92"/>
          </reference>
        </references>
      </pivotArea>
    </chartFormat>
    <chartFormat chart="11" format="7">
      <pivotArea type="data" outline="0" fieldPosition="0">
        <references count="2">
          <reference field="4294967294" count="1" selected="0">
            <x v="0"/>
          </reference>
          <reference field="16" count="1" selected="0">
            <x v="90"/>
          </reference>
        </references>
      </pivotArea>
    </chartFormat>
    <chartFormat chart="11" format="8">
      <pivotArea type="data" outline="0" fieldPosition="0">
        <references count="2">
          <reference field="4294967294" count="1" selected="0">
            <x v="0"/>
          </reference>
          <reference field="16" count="1" selected="0">
            <x v="72"/>
          </reference>
        </references>
      </pivotArea>
    </chartFormat>
    <chartFormat chart="11" format="9">
      <pivotArea type="data" outline="0" fieldPosition="0">
        <references count="2">
          <reference field="4294967294" count="1" selected="0">
            <x v="0"/>
          </reference>
          <reference field="16" count="1" selected="0">
            <x v="28"/>
          </reference>
        </references>
      </pivotArea>
    </chartFormat>
  </chartFormats>
  <pivotTableStyleInfo showRowHeaders="1" showColHeaders="1" showRowStripes="0" showColStripes="0" showLastColumn="1"/>
  <filters count="1">
    <filter fld="16" type="count" evalOrder="-1" id="1" iMeasureFld="0">
      <autoFilter ref="A1">
        <filterColumn colId="0">
          <top10 val="10" filterVal="10"/>
        </filterColumn>
      </autoFilter>
    </filter>
  </filters>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905F529-1835-420D-96F5-7995F38E1294}" name="PivotTable3"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G3:H19" firstHeaderRow="2" firstDataRow="2" firstDataCol="1"/>
  <pivotFields count="21">
    <pivotField compact="0" outline="0" showAll="0" includeNewItemsInFilter="1"/>
    <pivotField compact="0" outline="0" showAll="0" includeNewItemsInFilter="1"/>
    <pivotField compact="0" numFmtId="14" outline="0" showAll="0" includeNewItemsInFilter="1"/>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15">
        <item x="11"/>
        <item x="9"/>
        <item x="6"/>
        <item x="8"/>
        <item x="0"/>
        <item x="1"/>
        <item x="12"/>
        <item x="13"/>
        <item x="5"/>
        <item x="2"/>
        <item x="10"/>
        <item x="7"/>
        <item x="4"/>
        <item x="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s>
  <rowFields count="1">
    <field x="15"/>
  </rowFields>
  <rowItems count="15">
    <i>
      <x/>
    </i>
    <i>
      <x v="1"/>
    </i>
    <i>
      <x v="2"/>
    </i>
    <i>
      <x v="3"/>
    </i>
    <i>
      <x v="4"/>
    </i>
    <i>
      <x v="5"/>
    </i>
    <i>
      <x v="6"/>
    </i>
    <i>
      <x v="7"/>
    </i>
    <i>
      <x v="8"/>
    </i>
    <i>
      <x v="9"/>
    </i>
    <i>
      <x v="10"/>
    </i>
    <i>
      <x v="11"/>
    </i>
    <i>
      <x v="12"/>
    </i>
    <i>
      <x v="13"/>
    </i>
    <i t="grand">
      <x/>
    </i>
  </rowItems>
  <colItems count="1">
    <i/>
  </colItems>
  <dataFields count="1">
    <dataField name="Sum of Profit" fld="20"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9BC06F8-0CD3-4DE7-926A-C62C4ECB0DFE}" name="PivotTable2"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4">
  <location ref="D3:E8" firstHeaderRow="2" firstDataRow="2" firstDataCol="1"/>
  <pivotFields count="21">
    <pivotField compact="0" outline="0" showAll="0" includeNewItemsInFilter="1"/>
    <pivotField compact="0" outline="0" showAll="0" includeNewItemsInFilter="1"/>
    <pivotField compact="0" numFmtId="14" outline="0" showAll="0" includeNewItemsInFilter="1"/>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h="1" x="0"/>
        <item h="1"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2"/>
        <item h="1" x="3"/>
        <item h="1" x="0"/>
        <item h="1" x="1"/>
        <item t="default"/>
      </items>
    </pivotField>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s>
  <rowFields count="1">
    <field x="14"/>
  </rowFields>
  <rowItems count="4">
    <i>
      <x/>
    </i>
    <i>
      <x v="1"/>
    </i>
    <i>
      <x v="2"/>
    </i>
    <i t="grand">
      <x/>
    </i>
  </rowItems>
  <colItems count="1">
    <i/>
  </colItems>
  <dataFields count="1">
    <dataField name="Sum of Profit" fld="20" baseField="0" baseItem="0"/>
  </dataFields>
  <chartFormats count="5">
    <chartFormat chart="2" format="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4" count="1" selected="0">
            <x v="0"/>
          </reference>
        </references>
      </pivotArea>
    </chartFormat>
    <chartFormat chart="10" format="15">
      <pivotArea type="data" outline="0" fieldPosition="0">
        <references count="2">
          <reference field="4294967294" count="1" selected="0">
            <x v="0"/>
          </reference>
          <reference field="14" count="1" selected="0">
            <x v="1"/>
          </reference>
        </references>
      </pivotArea>
    </chartFormat>
    <chartFormat chart="10" format="16">
      <pivotArea type="data" outline="0" fieldPosition="0">
        <references count="2">
          <reference field="4294967294" count="1" selected="0">
            <x v="0"/>
          </reference>
          <reference field="14"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1EC96D5-2B87-4E8D-8A89-92C3972C1C17}"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1">
  <location ref="D20:E24" firstHeaderRow="1" firstDataRow="1" firstDataCol="1"/>
  <pivotFields count="21">
    <pivotField showAll="0"/>
    <pivotField showAll="0"/>
    <pivotField numFmtId="14" showAll="0"/>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7"/>
  </rowFields>
  <rowItems count="4">
    <i>
      <x/>
    </i>
    <i>
      <x v="1"/>
    </i>
    <i>
      <x v="2"/>
    </i>
    <i t="grand">
      <x/>
    </i>
  </rowItems>
  <colItems count="1">
    <i/>
  </colItems>
  <dataFields count="1">
    <dataField name="Sum of Profit" fld="20" baseField="0" baseItem="0"/>
  </dataFields>
  <chartFormats count="5">
    <chartFormat chart="26" format="0" series="1">
      <pivotArea type="data" outline="0" fieldPosition="0">
        <references count="1">
          <reference field="4294967294" count="1" selected="0">
            <x v="0"/>
          </reference>
        </references>
      </pivotArea>
    </chartFormat>
    <chartFormat chart="35" format="10" series="1">
      <pivotArea type="data" outline="0" fieldPosition="0">
        <references count="1">
          <reference field="4294967294" count="1" selected="0">
            <x v="0"/>
          </reference>
        </references>
      </pivotArea>
    </chartFormat>
    <chartFormat chart="35" format="11">
      <pivotArea type="data" outline="0" fieldPosition="0">
        <references count="2">
          <reference field="4294967294" count="1" selected="0">
            <x v="0"/>
          </reference>
          <reference field="7" count="1" selected="0">
            <x v="0"/>
          </reference>
        </references>
      </pivotArea>
    </chartFormat>
    <chartFormat chart="35" format="12">
      <pivotArea type="data" outline="0" fieldPosition="0">
        <references count="2">
          <reference field="4294967294" count="1" selected="0">
            <x v="0"/>
          </reference>
          <reference field="7" count="1" selected="0">
            <x v="1"/>
          </reference>
        </references>
      </pivotArea>
    </chartFormat>
    <chartFormat chart="35" format="13">
      <pivotArea type="data" outline="0" fieldPosition="0">
        <references count="2">
          <reference field="4294967294" count="1" selected="0">
            <x v="0"/>
          </reference>
          <reference field="7" count="1" selected="0">
            <x v="2"/>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1CE5E3E-6CE6-4F09-AFA5-8F473B4DAEBD}" name="PivotTable1"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26">
  <location ref="A3:B9" firstHeaderRow="2" firstDataRow="2" firstDataCol="1"/>
  <pivotFields count="21">
    <pivotField compact="0" outline="0" showAll="0" includeNewItemsInFilter="1"/>
    <pivotField compact="0" outline="0" showAll="0" includeNewItemsInFilter="1"/>
    <pivotField compact="0" numFmtId="14" outline="0" showAll="0" includeNewItemsInFilter="1"/>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
        <item x="2"/>
        <item x="3"/>
        <item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s>
  <rowFields count="1">
    <field x="12"/>
  </rowFields>
  <rowItems count="5">
    <i>
      <x/>
    </i>
    <i>
      <x v="1"/>
    </i>
    <i>
      <x v="2"/>
    </i>
    <i>
      <x v="3"/>
    </i>
    <i t="grand">
      <x/>
    </i>
  </rowItems>
  <colItems count="1">
    <i/>
  </colItems>
  <dataFields count="1">
    <dataField name="Sum of Sales" fld="17" baseField="0" baseItem="0"/>
  </dataFields>
  <chartFormats count="2">
    <chartFormat chart="0" format="0" series="1">
      <pivotArea type="data" outline="0" fieldPosition="0">
        <references count="1">
          <reference field="4294967294" count="1" selected="0">
            <x v="0"/>
          </reference>
        </references>
      </pivotArea>
    </chartFormat>
    <chartFormat chart="25" format="4"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64E4DF7-40C1-444F-8D17-52DE6CC4E895}" sourceName="Region">
  <pivotTables>
    <pivotTable tabId="2" name="PivotTable1"/>
  </pivotTables>
  <data>
    <tabular pivotCacheId="119403938">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6DC159E0-121A-40E2-BA72-D7637DF30725}" sourceName="Segment">
  <pivotTables>
    <pivotTable tabId="2" name="PivotTable2"/>
  </pivotTables>
  <data>
    <tabular pivotCacheId="119403938">
      <items count="3">
        <i x="0"/>
        <i x="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4F2AD9F-F998-4722-B368-CDAA533F0D93}" sourceName="Region">
  <pivotTables>
    <pivotTable tabId="2" name="PivotTable2"/>
  </pivotTables>
  <data>
    <tabular pivotCacheId="119403938">
      <items count="4">
        <i x="2" s="1"/>
        <i x="3"/>
        <i x="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B5C89FC-8583-4560-9C12-7E9168187DB7}" cache="Slicer_Region" caption="Region" columnCount="4" style="SlicerStyleDark2" rowHeight="260350"/>
  <slicer name="Segment" xr10:uid="{CD0B3F61-72CF-4CAA-92E1-464533A2F387}" cache="Slicer_Segment" caption="Segment" style="SlicerStyleDark6" rowHeight="260350"/>
  <slicer name="Region 1" xr10:uid="{4FD029DE-9103-42D5-A3AC-7797400E0C91}" cache="Slicer_Region1" caption="Region" columnCount="4" style="SlicerStyleDark4" rowHeight="260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70F275-99D9-43A7-B546-F58AE1048BE4}" name="Table2" displayName="Table2" ref="A1:U157" totalsRowShown="0" headerRowDxfId="2">
  <autoFilter ref="A1:U157" xr:uid="{A36CE7ED-CA84-4DB2-A25C-5C765DB07678}"/>
  <tableColumns count="21">
    <tableColumn id="1" xr3:uid="{00000000-0010-0000-0100-000001000000}" name="Row ID"/>
    <tableColumn id="2" xr3:uid="{00000000-0010-0000-0100-000002000000}" name="Order ID"/>
    <tableColumn id="3" xr3:uid="{00000000-0010-0000-0100-000003000000}" name="Order Date" dataDxfId="1"/>
    <tableColumn id="4" xr3:uid="{00000000-0010-0000-0100-000004000000}" name="Ship Date" dataDxfId="0"/>
    <tableColumn id="5" xr3:uid="{00000000-0010-0000-0100-000005000000}" name="Ship Mode"/>
    <tableColumn id="6" xr3:uid="{00000000-0010-0000-0100-000006000000}" name="Customer ID"/>
    <tableColumn id="7" xr3:uid="{00000000-0010-0000-0100-000007000000}" name="Customer Name"/>
    <tableColumn id="8" xr3:uid="{00000000-0010-0000-0100-000008000000}" name="Segment"/>
    <tableColumn id="9" xr3:uid="{00000000-0010-0000-0100-000009000000}" name="Country"/>
    <tableColumn id="10" xr3:uid="{00000000-0010-0000-0100-00000A000000}" name="City"/>
    <tableColumn id="11" xr3:uid="{00000000-0010-0000-0100-00000B000000}" name="State"/>
    <tableColumn id="12" xr3:uid="{00000000-0010-0000-0100-00000C000000}" name="Postal Code"/>
    <tableColumn id="13" xr3:uid="{00000000-0010-0000-0100-00000D000000}" name="Region"/>
    <tableColumn id="14" xr3:uid="{00000000-0010-0000-0100-00000E000000}" name="Product ID"/>
    <tableColumn id="15" xr3:uid="{00000000-0010-0000-0100-00000F000000}" name="Category"/>
    <tableColumn id="16" xr3:uid="{00000000-0010-0000-0100-000010000000}" name="Sub-Category"/>
    <tableColumn id="17" xr3:uid="{00000000-0010-0000-0100-000011000000}" name="Product Name"/>
    <tableColumn id="18" xr3:uid="{00000000-0010-0000-0100-000012000000}" name="Sales"/>
    <tableColumn id="19" xr3:uid="{00000000-0010-0000-0100-000013000000}" name="Quantity"/>
    <tableColumn id="20" xr3:uid="{00000000-0010-0000-0100-000014000000}" name="Discount"/>
    <tableColumn id="21" xr3:uid="{00000000-0010-0000-0100-000015000000}" name="Profit"/>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EB38B-7CD8-4D8C-8E88-0CDDDABDDE09}">
  <dimension ref="A1:U157"/>
  <sheetViews>
    <sheetView topLeftCell="B1" zoomScale="89" zoomScaleNormal="89" workbookViewId="0">
      <selection activeCell="U123" sqref="U123"/>
    </sheetView>
  </sheetViews>
  <sheetFormatPr defaultColWidth="11" defaultRowHeight="15.6" x14ac:dyDescent="0.3"/>
  <cols>
    <col min="1" max="1" width="11.5" customWidth="1"/>
    <col min="2" max="2" width="17" bestFit="1" customWidth="1"/>
    <col min="3" max="3" width="17.19921875" style="1" bestFit="1" customWidth="1"/>
    <col min="4" max="4" width="14.3984375" customWidth="1"/>
    <col min="5" max="5" width="15.59765625" customWidth="1"/>
    <col min="6" max="6" width="17.3984375" customWidth="1"/>
    <col min="7" max="7" width="22.5" bestFit="1" customWidth="1"/>
    <col min="8" max="8" width="12.796875" customWidth="1"/>
    <col min="9" max="9" width="13.19921875" bestFit="1" customWidth="1"/>
    <col min="10" max="10" width="18.69921875" bestFit="1" customWidth="1"/>
    <col min="12" max="12" width="17.3984375" customWidth="1"/>
    <col min="13" max="13" width="11.296875" customWidth="1"/>
    <col min="14" max="14" width="19.3984375" bestFit="1" customWidth="1"/>
    <col min="15" max="15" width="14.59765625" bestFit="1" customWidth="1"/>
    <col min="16" max="16" width="19.19921875" customWidth="1"/>
    <col min="17" max="17" width="119.59765625" bestFit="1" customWidth="1"/>
    <col min="18" max="18" width="12.19921875" bestFit="1" customWidth="1"/>
    <col min="19" max="19" width="12.796875" customWidth="1"/>
    <col min="20" max="20" width="13.296875" customWidth="1"/>
    <col min="21" max="21" width="11.19921875" customWidth="1"/>
  </cols>
  <sheetData>
    <row r="1" spans="1:21" s="3" customFormat="1" x14ac:dyDescent="0.3">
      <c r="A1" s="2" t="s">
        <v>333</v>
      </c>
      <c r="B1" s="2" t="s">
        <v>264</v>
      </c>
      <c r="C1" s="13" t="s">
        <v>521</v>
      </c>
      <c r="D1" s="2" t="s">
        <v>522</v>
      </c>
      <c r="E1" s="2" t="s">
        <v>334</v>
      </c>
      <c r="F1" s="2" t="s">
        <v>335</v>
      </c>
      <c r="G1" s="2" t="s">
        <v>336</v>
      </c>
      <c r="H1" s="2" t="s">
        <v>459</v>
      </c>
      <c r="I1" s="2" t="s">
        <v>274</v>
      </c>
      <c r="J1" s="2" t="s">
        <v>0</v>
      </c>
      <c r="K1" s="2" t="s">
        <v>1</v>
      </c>
      <c r="L1" s="2" t="s">
        <v>337</v>
      </c>
      <c r="M1" s="2" t="s">
        <v>2</v>
      </c>
      <c r="N1" s="2" t="s">
        <v>338</v>
      </c>
      <c r="O1" s="2" t="s">
        <v>339</v>
      </c>
      <c r="P1" s="2" t="s">
        <v>340</v>
      </c>
      <c r="Q1" s="2" t="s">
        <v>341</v>
      </c>
      <c r="R1" s="2" t="s">
        <v>3</v>
      </c>
      <c r="S1" s="2" t="s">
        <v>4</v>
      </c>
      <c r="T1" s="2" t="s">
        <v>5</v>
      </c>
      <c r="U1" s="2" t="s">
        <v>6</v>
      </c>
    </row>
    <row r="2" spans="1:21" x14ac:dyDescent="0.3">
      <c r="A2">
        <v>1</v>
      </c>
      <c r="B2" t="s">
        <v>485</v>
      </c>
      <c r="C2" s="1">
        <v>42682</v>
      </c>
      <c r="D2" s="1">
        <v>42685</v>
      </c>
      <c r="E2" t="s">
        <v>7</v>
      </c>
      <c r="F2" t="s">
        <v>275</v>
      </c>
      <c r="G2" t="s">
        <v>8</v>
      </c>
      <c r="H2" t="s">
        <v>9</v>
      </c>
      <c r="I2" t="s">
        <v>276</v>
      </c>
      <c r="J2" t="s">
        <v>10</v>
      </c>
      <c r="K2" t="s">
        <v>11</v>
      </c>
      <c r="L2">
        <v>42420</v>
      </c>
      <c r="M2" t="s">
        <v>12</v>
      </c>
      <c r="N2" t="s">
        <v>342</v>
      </c>
      <c r="O2" t="s">
        <v>13</v>
      </c>
      <c r="P2" t="s">
        <v>14</v>
      </c>
      <c r="Q2" t="s">
        <v>15</v>
      </c>
      <c r="R2">
        <v>261.95999999999998</v>
      </c>
      <c r="S2">
        <v>2</v>
      </c>
      <c r="T2">
        <v>0</v>
      </c>
      <c r="U2">
        <v>41.913600000000002</v>
      </c>
    </row>
    <row r="3" spans="1:21" x14ac:dyDescent="0.3">
      <c r="A3">
        <v>2</v>
      </c>
      <c r="B3" t="s">
        <v>485</v>
      </c>
      <c r="C3" s="1">
        <v>42683</v>
      </c>
      <c r="D3" s="1">
        <v>42685</v>
      </c>
      <c r="E3" t="s">
        <v>7</v>
      </c>
      <c r="F3" t="s">
        <v>275</v>
      </c>
      <c r="G3" t="s">
        <v>8</v>
      </c>
      <c r="H3" t="s">
        <v>9</v>
      </c>
      <c r="I3" t="s">
        <v>276</v>
      </c>
      <c r="J3" t="s">
        <v>10</v>
      </c>
      <c r="K3" t="s">
        <v>11</v>
      </c>
      <c r="L3">
        <v>42420</v>
      </c>
      <c r="M3" t="s">
        <v>12</v>
      </c>
      <c r="N3" t="s">
        <v>343</v>
      </c>
      <c r="O3" t="s">
        <v>13</v>
      </c>
      <c r="P3" t="s">
        <v>265</v>
      </c>
      <c r="Q3" t="s">
        <v>256</v>
      </c>
      <c r="R3">
        <v>731.93999999999994</v>
      </c>
      <c r="S3">
        <v>3</v>
      </c>
      <c r="T3">
        <v>0</v>
      </c>
      <c r="U3">
        <v>219.58199999999997</v>
      </c>
    </row>
    <row r="4" spans="1:21" x14ac:dyDescent="0.3">
      <c r="A4">
        <v>3</v>
      </c>
      <c r="B4" t="s">
        <v>486</v>
      </c>
      <c r="C4" s="1">
        <v>42684</v>
      </c>
      <c r="D4" s="1">
        <v>42537</v>
      </c>
      <c r="E4" t="s">
        <v>7</v>
      </c>
      <c r="F4" t="s">
        <v>277</v>
      </c>
      <c r="G4" t="s">
        <v>16</v>
      </c>
      <c r="H4" t="s">
        <v>17</v>
      </c>
      <c r="I4" t="s">
        <v>276</v>
      </c>
      <c r="J4" t="s">
        <v>18</v>
      </c>
      <c r="K4" t="s">
        <v>19</v>
      </c>
      <c r="L4">
        <v>90036</v>
      </c>
      <c r="M4" t="s">
        <v>20</v>
      </c>
      <c r="N4" t="s">
        <v>344</v>
      </c>
      <c r="O4" t="s">
        <v>21</v>
      </c>
      <c r="P4" t="s">
        <v>22</v>
      </c>
      <c r="Q4" t="s">
        <v>261</v>
      </c>
      <c r="R4">
        <v>14.62</v>
      </c>
      <c r="S4">
        <v>2</v>
      </c>
      <c r="T4">
        <v>0</v>
      </c>
      <c r="U4">
        <v>6.8713999999999995</v>
      </c>
    </row>
    <row r="5" spans="1:21" x14ac:dyDescent="0.3">
      <c r="A5">
        <v>4</v>
      </c>
      <c r="B5" t="s">
        <v>470</v>
      </c>
      <c r="C5" s="1">
        <v>42685</v>
      </c>
      <c r="D5" s="1">
        <v>42295</v>
      </c>
      <c r="E5" t="s">
        <v>23</v>
      </c>
      <c r="F5" t="s">
        <v>278</v>
      </c>
      <c r="G5" t="s">
        <v>24</v>
      </c>
      <c r="H5" t="s">
        <v>9</v>
      </c>
      <c r="I5" t="s">
        <v>276</v>
      </c>
      <c r="J5" t="s">
        <v>25</v>
      </c>
      <c r="K5" t="s">
        <v>26</v>
      </c>
      <c r="L5">
        <v>33311</v>
      </c>
      <c r="M5" t="s">
        <v>12</v>
      </c>
      <c r="N5" t="s">
        <v>345</v>
      </c>
      <c r="O5" t="s">
        <v>13</v>
      </c>
      <c r="P5" t="s">
        <v>27</v>
      </c>
      <c r="Q5" t="s">
        <v>167</v>
      </c>
      <c r="R5">
        <v>957.57749999999999</v>
      </c>
      <c r="S5">
        <v>5</v>
      </c>
      <c r="T5">
        <v>0.45</v>
      </c>
      <c r="U5">
        <v>-383.03100000000006</v>
      </c>
    </row>
    <row r="6" spans="1:21" x14ac:dyDescent="0.3">
      <c r="A6">
        <v>5</v>
      </c>
      <c r="B6" t="s">
        <v>470</v>
      </c>
      <c r="C6" s="1">
        <v>42686</v>
      </c>
      <c r="D6" s="1">
        <v>42295</v>
      </c>
      <c r="E6" t="s">
        <v>23</v>
      </c>
      <c r="F6" t="s">
        <v>278</v>
      </c>
      <c r="G6" t="s">
        <v>24</v>
      </c>
      <c r="H6" t="s">
        <v>9</v>
      </c>
      <c r="I6" t="s">
        <v>276</v>
      </c>
      <c r="J6" t="s">
        <v>25</v>
      </c>
      <c r="K6" t="s">
        <v>26</v>
      </c>
      <c r="L6">
        <v>33311</v>
      </c>
      <c r="M6" t="s">
        <v>12</v>
      </c>
      <c r="N6" t="s">
        <v>346</v>
      </c>
      <c r="O6" t="s">
        <v>21</v>
      </c>
      <c r="P6" t="s">
        <v>266</v>
      </c>
      <c r="Q6" t="s">
        <v>232</v>
      </c>
      <c r="R6">
        <v>22.368000000000002</v>
      </c>
      <c r="S6">
        <v>2</v>
      </c>
      <c r="T6">
        <v>0.2</v>
      </c>
      <c r="U6">
        <v>2.5163999999999991</v>
      </c>
    </row>
    <row r="7" spans="1:21" x14ac:dyDescent="0.3">
      <c r="A7">
        <v>6</v>
      </c>
      <c r="B7" t="s">
        <v>461</v>
      </c>
      <c r="C7" s="1">
        <v>42687</v>
      </c>
      <c r="D7" s="1">
        <v>41804</v>
      </c>
      <c r="E7" t="s">
        <v>23</v>
      </c>
      <c r="F7" t="s">
        <v>279</v>
      </c>
      <c r="G7" t="s">
        <v>28</v>
      </c>
      <c r="H7" t="s">
        <v>9</v>
      </c>
      <c r="I7" t="s">
        <v>276</v>
      </c>
      <c r="J7" t="s">
        <v>18</v>
      </c>
      <c r="K7" t="s">
        <v>19</v>
      </c>
      <c r="L7">
        <v>90032</v>
      </c>
      <c r="M7" t="s">
        <v>20</v>
      </c>
      <c r="N7" t="s">
        <v>347</v>
      </c>
      <c r="O7" t="s">
        <v>13</v>
      </c>
      <c r="P7" t="s">
        <v>267</v>
      </c>
      <c r="Q7" t="s">
        <v>247</v>
      </c>
      <c r="R7">
        <v>48.86</v>
      </c>
      <c r="S7">
        <v>7</v>
      </c>
      <c r="T7">
        <v>0</v>
      </c>
      <c r="U7">
        <v>14.169399999999996</v>
      </c>
    </row>
    <row r="8" spans="1:21" x14ac:dyDescent="0.3">
      <c r="A8">
        <v>7</v>
      </c>
      <c r="B8" t="s">
        <v>461</v>
      </c>
      <c r="C8" s="1">
        <v>42688</v>
      </c>
      <c r="D8" s="1">
        <v>41804</v>
      </c>
      <c r="E8" t="s">
        <v>23</v>
      </c>
      <c r="F8" t="s">
        <v>279</v>
      </c>
      <c r="G8" t="s">
        <v>28</v>
      </c>
      <c r="H8" t="s">
        <v>9</v>
      </c>
      <c r="I8" t="s">
        <v>276</v>
      </c>
      <c r="J8" t="s">
        <v>18</v>
      </c>
      <c r="K8" t="s">
        <v>19</v>
      </c>
      <c r="L8">
        <v>90032</v>
      </c>
      <c r="M8" t="s">
        <v>20</v>
      </c>
      <c r="N8" t="s">
        <v>348</v>
      </c>
      <c r="O8" t="s">
        <v>21</v>
      </c>
      <c r="P8" t="s">
        <v>268</v>
      </c>
      <c r="Q8" t="s">
        <v>234</v>
      </c>
      <c r="R8">
        <v>7.28</v>
      </c>
      <c r="S8">
        <v>4</v>
      </c>
      <c r="T8">
        <v>0</v>
      </c>
      <c r="U8">
        <v>1.9656000000000002</v>
      </c>
    </row>
    <row r="9" spans="1:21" x14ac:dyDescent="0.3">
      <c r="A9">
        <v>8</v>
      </c>
      <c r="B9" t="s">
        <v>461</v>
      </c>
      <c r="C9" s="1">
        <v>42689</v>
      </c>
      <c r="D9" s="1">
        <v>41804</v>
      </c>
      <c r="E9" t="s">
        <v>23</v>
      </c>
      <c r="F9" t="s">
        <v>279</v>
      </c>
      <c r="G9" t="s">
        <v>28</v>
      </c>
      <c r="H9" t="s">
        <v>9</v>
      </c>
      <c r="I9" t="s">
        <v>276</v>
      </c>
      <c r="J9" t="s">
        <v>18</v>
      </c>
      <c r="K9" t="s">
        <v>19</v>
      </c>
      <c r="L9">
        <v>90032</v>
      </c>
      <c r="M9" t="s">
        <v>20</v>
      </c>
      <c r="N9" t="s">
        <v>349</v>
      </c>
      <c r="O9" t="s">
        <v>29</v>
      </c>
      <c r="P9" t="s">
        <v>269</v>
      </c>
      <c r="Q9" t="s">
        <v>201</v>
      </c>
      <c r="R9">
        <v>907.15200000000004</v>
      </c>
      <c r="S9">
        <v>6</v>
      </c>
      <c r="T9">
        <v>0.2</v>
      </c>
      <c r="U9">
        <v>90.715200000000038</v>
      </c>
    </row>
    <row r="10" spans="1:21" x14ac:dyDescent="0.3">
      <c r="A10">
        <v>9</v>
      </c>
      <c r="B10" t="s">
        <v>461</v>
      </c>
      <c r="C10" s="1">
        <v>42690</v>
      </c>
      <c r="D10" s="1">
        <v>41804</v>
      </c>
      <c r="E10" t="s">
        <v>23</v>
      </c>
      <c r="F10" t="s">
        <v>279</v>
      </c>
      <c r="G10" t="s">
        <v>28</v>
      </c>
      <c r="H10" t="s">
        <v>9</v>
      </c>
      <c r="I10" t="s">
        <v>276</v>
      </c>
      <c r="J10" t="s">
        <v>18</v>
      </c>
      <c r="K10" t="s">
        <v>19</v>
      </c>
      <c r="L10">
        <v>90032</v>
      </c>
      <c r="M10" t="s">
        <v>20</v>
      </c>
      <c r="N10" t="s">
        <v>350</v>
      </c>
      <c r="O10" t="s">
        <v>21</v>
      </c>
      <c r="P10" t="s">
        <v>270</v>
      </c>
      <c r="Q10" t="s">
        <v>43</v>
      </c>
      <c r="R10">
        <v>18.504000000000001</v>
      </c>
      <c r="S10">
        <v>3</v>
      </c>
      <c r="T10">
        <v>0.2</v>
      </c>
      <c r="U10">
        <v>5.7824999999999998</v>
      </c>
    </row>
    <row r="11" spans="1:21" x14ac:dyDescent="0.3">
      <c r="A11">
        <v>10</v>
      </c>
      <c r="B11" t="s">
        <v>461</v>
      </c>
      <c r="C11" s="1">
        <v>42691</v>
      </c>
      <c r="D11" s="1">
        <v>41804</v>
      </c>
      <c r="E11" t="s">
        <v>23</v>
      </c>
      <c r="F11" t="s">
        <v>279</v>
      </c>
      <c r="G11" t="s">
        <v>28</v>
      </c>
      <c r="H11" t="s">
        <v>9</v>
      </c>
      <c r="I11" t="s">
        <v>276</v>
      </c>
      <c r="J11" t="s">
        <v>18</v>
      </c>
      <c r="K11" t="s">
        <v>19</v>
      </c>
      <c r="L11">
        <v>90032</v>
      </c>
      <c r="M11" t="s">
        <v>20</v>
      </c>
      <c r="N11" t="s">
        <v>351</v>
      </c>
      <c r="O11" t="s">
        <v>21</v>
      </c>
      <c r="P11" t="s">
        <v>30</v>
      </c>
      <c r="Q11" t="s">
        <v>185</v>
      </c>
      <c r="R11">
        <v>114.9</v>
      </c>
      <c r="S11">
        <v>5</v>
      </c>
      <c r="T11">
        <v>0</v>
      </c>
      <c r="U11">
        <v>34.469999999999992</v>
      </c>
    </row>
    <row r="12" spans="1:21" x14ac:dyDescent="0.3">
      <c r="A12">
        <v>11</v>
      </c>
      <c r="B12" t="s">
        <v>461</v>
      </c>
      <c r="C12" s="1">
        <v>42692</v>
      </c>
      <c r="D12" s="1">
        <v>41804</v>
      </c>
      <c r="E12" t="s">
        <v>23</v>
      </c>
      <c r="F12" t="s">
        <v>279</v>
      </c>
      <c r="G12" t="s">
        <v>28</v>
      </c>
      <c r="H12" t="s">
        <v>9</v>
      </c>
      <c r="I12" t="s">
        <v>276</v>
      </c>
      <c r="J12" t="s">
        <v>18</v>
      </c>
      <c r="K12" t="s">
        <v>19</v>
      </c>
      <c r="L12">
        <v>90032</v>
      </c>
      <c r="M12" t="s">
        <v>20</v>
      </c>
      <c r="N12" t="s">
        <v>352</v>
      </c>
      <c r="O12" t="s">
        <v>13</v>
      </c>
      <c r="P12" t="s">
        <v>27</v>
      </c>
      <c r="Q12" t="s">
        <v>223</v>
      </c>
      <c r="R12">
        <v>1706.1840000000002</v>
      </c>
      <c r="S12">
        <v>9</v>
      </c>
      <c r="T12">
        <v>0.2</v>
      </c>
      <c r="U12">
        <v>85.309199999999805</v>
      </c>
    </row>
    <row r="13" spans="1:21" x14ac:dyDescent="0.3">
      <c r="A13">
        <v>12</v>
      </c>
      <c r="B13" t="s">
        <v>461</v>
      </c>
      <c r="C13" s="1">
        <v>42693</v>
      </c>
      <c r="D13" s="1">
        <v>41804</v>
      </c>
      <c r="E13" t="s">
        <v>23</v>
      </c>
      <c r="F13" t="s">
        <v>279</v>
      </c>
      <c r="G13" t="s">
        <v>28</v>
      </c>
      <c r="H13" t="s">
        <v>9</v>
      </c>
      <c r="I13" t="s">
        <v>276</v>
      </c>
      <c r="J13" t="s">
        <v>18</v>
      </c>
      <c r="K13" t="s">
        <v>19</v>
      </c>
      <c r="L13">
        <v>90032</v>
      </c>
      <c r="M13" t="s">
        <v>20</v>
      </c>
      <c r="N13" t="s">
        <v>353</v>
      </c>
      <c r="O13" t="s">
        <v>29</v>
      </c>
      <c r="P13" t="s">
        <v>269</v>
      </c>
      <c r="Q13" t="s">
        <v>237</v>
      </c>
      <c r="R13">
        <v>911.42399999999998</v>
      </c>
      <c r="S13">
        <v>4</v>
      </c>
      <c r="T13">
        <v>0.2</v>
      </c>
      <c r="U13">
        <v>68.356800000000021</v>
      </c>
    </row>
    <row r="14" spans="1:21" x14ac:dyDescent="0.3">
      <c r="A14">
        <v>13</v>
      </c>
      <c r="B14" t="s">
        <v>506</v>
      </c>
      <c r="C14" s="1">
        <v>42694</v>
      </c>
      <c r="D14" s="1">
        <v>42845</v>
      </c>
      <c r="E14" t="s">
        <v>23</v>
      </c>
      <c r="F14" t="s">
        <v>280</v>
      </c>
      <c r="G14" t="s">
        <v>31</v>
      </c>
      <c r="H14" t="s">
        <v>9</v>
      </c>
      <c r="I14" t="s">
        <v>276</v>
      </c>
      <c r="J14" t="s">
        <v>32</v>
      </c>
      <c r="K14" t="s">
        <v>33</v>
      </c>
      <c r="L14">
        <v>28027</v>
      </c>
      <c r="M14" t="s">
        <v>12</v>
      </c>
      <c r="N14" t="s">
        <v>354</v>
      </c>
      <c r="O14" t="s">
        <v>21</v>
      </c>
      <c r="P14" t="s">
        <v>34</v>
      </c>
      <c r="Q14" t="s">
        <v>193</v>
      </c>
      <c r="R14">
        <v>15.552000000000003</v>
      </c>
      <c r="S14">
        <v>3</v>
      </c>
      <c r="T14">
        <v>0.2</v>
      </c>
      <c r="U14">
        <v>5.4432</v>
      </c>
    </row>
    <row r="15" spans="1:21" x14ac:dyDescent="0.3">
      <c r="A15">
        <v>14</v>
      </c>
      <c r="B15" t="s">
        <v>487</v>
      </c>
      <c r="C15" s="1">
        <v>42695</v>
      </c>
      <c r="D15" s="1">
        <v>42714</v>
      </c>
      <c r="E15" t="s">
        <v>23</v>
      </c>
      <c r="F15" t="s">
        <v>281</v>
      </c>
      <c r="G15" t="s">
        <v>35</v>
      </c>
      <c r="H15" t="s">
        <v>9</v>
      </c>
      <c r="I15" t="s">
        <v>276</v>
      </c>
      <c r="J15" t="s">
        <v>36</v>
      </c>
      <c r="K15" t="s">
        <v>37</v>
      </c>
      <c r="L15">
        <v>98103</v>
      </c>
      <c r="M15" t="s">
        <v>20</v>
      </c>
      <c r="N15" t="s">
        <v>355</v>
      </c>
      <c r="O15" t="s">
        <v>21</v>
      </c>
      <c r="P15" t="s">
        <v>270</v>
      </c>
      <c r="Q15" t="s">
        <v>156</v>
      </c>
      <c r="R15">
        <v>407.97600000000006</v>
      </c>
      <c r="S15">
        <v>3</v>
      </c>
      <c r="T15">
        <v>0.2</v>
      </c>
      <c r="U15">
        <v>132.59219999999993</v>
      </c>
    </row>
    <row r="16" spans="1:21" x14ac:dyDescent="0.3">
      <c r="A16">
        <v>15</v>
      </c>
      <c r="B16" t="s">
        <v>471</v>
      </c>
      <c r="C16" s="1">
        <v>42696</v>
      </c>
      <c r="D16" s="1">
        <v>42334</v>
      </c>
      <c r="E16" t="s">
        <v>23</v>
      </c>
      <c r="F16" t="s">
        <v>282</v>
      </c>
      <c r="G16" t="s">
        <v>38</v>
      </c>
      <c r="H16" t="s">
        <v>39</v>
      </c>
      <c r="I16" t="s">
        <v>276</v>
      </c>
      <c r="J16" t="s">
        <v>40</v>
      </c>
      <c r="K16" t="s">
        <v>41</v>
      </c>
      <c r="L16">
        <v>76106</v>
      </c>
      <c r="M16" t="s">
        <v>42</v>
      </c>
      <c r="N16" t="s">
        <v>356</v>
      </c>
      <c r="O16" t="s">
        <v>21</v>
      </c>
      <c r="P16" t="s">
        <v>30</v>
      </c>
      <c r="Q16" t="s">
        <v>227</v>
      </c>
      <c r="R16">
        <v>68.809999999999988</v>
      </c>
      <c r="S16">
        <v>5</v>
      </c>
      <c r="T16">
        <v>0.8</v>
      </c>
      <c r="U16">
        <v>-123.858</v>
      </c>
    </row>
    <row r="17" spans="1:21" x14ac:dyDescent="0.3">
      <c r="A17">
        <v>16</v>
      </c>
      <c r="B17" t="s">
        <v>471</v>
      </c>
      <c r="C17" s="1">
        <v>42697</v>
      </c>
      <c r="D17" s="1">
        <v>42334</v>
      </c>
      <c r="E17" t="s">
        <v>23</v>
      </c>
      <c r="F17" t="s">
        <v>282</v>
      </c>
      <c r="G17" t="s">
        <v>38</v>
      </c>
      <c r="H17" t="s">
        <v>39</v>
      </c>
      <c r="I17" t="s">
        <v>276</v>
      </c>
      <c r="J17" t="s">
        <v>40</v>
      </c>
      <c r="K17" t="s">
        <v>41</v>
      </c>
      <c r="L17">
        <v>76106</v>
      </c>
      <c r="M17" t="s">
        <v>42</v>
      </c>
      <c r="N17" t="s">
        <v>357</v>
      </c>
      <c r="O17" t="s">
        <v>21</v>
      </c>
      <c r="P17" t="s">
        <v>270</v>
      </c>
      <c r="Q17" t="s">
        <v>229</v>
      </c>
      <c r="R17">
        <v>2.5439999999999996</v>
      </c>
      <c r="S17">
        <v>3</v>
      </c>
      <c r="T17">
        <v>0.8</v>
      </c>
      <c r="U17">
        <v>-3.8160000000000016</v>
      </c>
    </row>
    <row r="18" spans="1:21" x14ac:dyDescent="0.3">
      <c r="A18">
        <v>17</v>
      </c>
      <c r="B18" t="s">
        <v>462</v>
      </c>
      <c r="C18" s="1">
        <v>42698</v>
      </c>
      <c r="D18" s="1">
        <v>41961</v>
      </c>
      <c r="E18" t="s">
        <v>23</v>
      </c>
      <c r="F18" t="s">
        <v>283</v>
      </c>
      <c r="G18" t="s">
        <v>44</v>
      </c>
      <c r="H18" t="s">
        <v>9</v>
      </c>
      <c r="I18" t="s">
        <v>276</v>
      </c>
      <c r="J18" t="s">
        <v>45</v>
      </c>
      <c r="K18" t="s">
        <v>46</v>
      </c>
      <c r="L18">
        <v>53711</v>
      </c>
      <c r="M18" t="s">
        <v>42</v>
      </c>
      <c r="N18" t="s">
        <v>358</v>
      </c>
      <c r="O18" t="s">
        <v>21</v>
      </c>
      <c r="P18" t="s">
        <v>266</v>
      </c>
      <c r="Q18" t="s">
        <v>179</v>
      </c>
      <c r="R18">
        <v>665.88</v>
      </c>
      <c r="S18">
        <v>6</v>
      </c>
      <c r="T18">
        <v>0</v>
      </c>
      <c r="U18">
        <v>13.317599999999999</v>
      </c>
    </row>
    <row r="19" spans="1:21" x14ac:dyDescent="0.3">
      <c r="A19">
        <v>18</v>
      </c>
      <c r="B19" t="s">
        <v>463</v>
      </c>
      <c r="C19" s="1">
        <v>42699</v>
      </c>
      <c r="D19" s="1">
        <v>41774</v>
      </c>
      <c r="E19" t="s">
        <v>7</v>
      </c>
      <c r="F19" t="s">
        <v>284</v>
      </c>
      <c r="G19" t="s">
        <v>47</v>
      </c>
      <c r="H19" t="s">
        <v>9</v>
      </c>
      <c r="I19" t="s">
        <v>276</v>
      </c>
      <c r="J19" t="s">
        <v>48</v>
      </c>
      <c r="K19" t="s">
        <v>49</v>
      </c>
      <c r="L19">
        <v>84084</v>
      </c>
      <c r="M19" t="s">
        <v>20</v>
      </c>
      <c r="N19" t="s">
        <v>359</v>
      </c>
      <c r="O19" t="s">
        <v>21</v>
      </c>
      <c r="P19" t="s">
        <v>266</v>
      </c>
      <c r="Q19" t="s">
        <v>226</v>
      </c>
      <c r="R19">
        <v>55.5</v>
      </c>
      <c r="S19">
        <v>2</v>
      </c>
      <c r="T19">
        <v>0</v>
      </c>
      <c r="U19">
        <v>9.9899999999999949</v>
      </c>
    </row>
    <row r="20" spans="1:21" x14ac:dyDescent="0.3">
      <c r="A20">
        <v>19</v>
      </c>
      <c r="B20" t="s">
        <v>464</v>
      </c>
      <c r="C20" s="1">
        <v>42700</v>
      </c>
      <c r="D20" s="1">
        <v>41883</v>
      </c>
      <c r="E20" t="s">
        <v>7</v>
      </c>
      <c r="F20" t="s">
        <v>285</v>
      </c>
      <c r="G20" t="s">
        <v>50</v>
      </c>
      <c r="H20" t="s">
        <v>9</v>
      </c>
      <c r="I20" t="s">
        <v>276</v>
      </c>
      <c r="J20" t="s">
        <v>51</v>
      </c>
      <c r="K20" t="s">
        <v>19</v>
      </c>
      <c r="L20">
        <v>94109</v>
      </c>
      <c r="M20" t="s">
        <v>20</v>
      </c>
      <c r="N20" t="s">
        <v>360</v>
      </c>
      <c r="O20" t="s">
        <v>21</v>
      </c>
      <c r="P20" t="s">
        <v>268</v>
      </c>
      <c r="Q20" t="s">
        <v>236</v>
      </c>
      <c r="R20">
        <v>8.56</v>
      </c>
      <c r="S20">
        <v>2</v>
      </c>
      <c r="T20">
        <v>0</v>
      </c>
      <c r="U20">
        <v>2.4823999999999993</v>
      </c>
    </row>
    <row r="21" spans="1:21" x14ac:dyDescent="0.3">
      <c r="A21">
        <v>20</v>
      </c>
      <c r="B21" t="s">
        <v>464</v>
      </c>
      <c r="C21" s="1">
        <v>42701</v>
      </c>
      <c r="D21" s="1">
        <v>41883</v>
      </c>
      <c r="E21" t="s">
        <v>7</v>
      </c>
      <c r="F21" t="s">
        <v>285</v>
      </c>
      <c r="G21" t="s">
        <v>50</v>
      </c>
      <c r="H21" t="s">
        <v>9</v>
      </c>
      <c r="I21" t="s">
        <v>276</v>
      </c>
      <c r="J21" t="s">
        <v>51</v>
      </c>
      <c r="K21" t="s">
        <v>19</v>
      </c>
      <c r="L21">
        <v>94109</v>
      </c>
      <c r="M21" t="s">
        <v>20</v>
      </c>
      <c r="N21" t="s">
        <v>361</v>
      </c>
      <c r="O21" t="s">
        <v>29</v>
      </c>
      <c r="P21" t="s">
        <v>269</v>
      </c>
      <c r="Q21" t="s">
        <v>253</v>
      </c>
      <c r="R21">
        <v>213.48000000000002</v>
      </c>
      <c r="S21">
        <v>3</v>
      </c>
      <c r="T21">
        <v>0.2</v>
      </c>
      <c r="U21">
        <v>16.010999999999981</v>
      </c>
    </row>
    <row r="22" spans="1:21" x14ac:dyDescent="0.3">
      <c r="A22">
        <v>21</v>
      </c>
      <c r="B22" t="s">
        <v>464</v>
      </c>
      <c r="C22" s="1">
        <v>42702</v>
      </c>
      <c r="D22" s="1">
        <v>41883</v>
      </c>
      <c r="E22" t="s">
        <v>7</v>
      </c>
      <c r="F22" t="s">
        <v>285</v>
      </c>
      <c r="G22" t="s">
        <v>50</v>
      </c>
      <c r="H22" t="s">
        <v>9</v>
      </c>
      <c r="I22" t="s">
        <v>276</v>
      </c>
      <c r="J22" t="s">
        <v>51</v>
      </c>
      <c r="K22" t="s">
        <v>19</v>
      </c>
      <c r="L22">
        <v>94109</v>
      </c>
      <c r="M22" t="s">
        <v>20</v>
      </c>
      <c r="N22" t="s">
        <v>362</v>
      </c>
      <c r="O22" t="s">
        <v>21</v>
      </c>
      <c r="P22" t="s">
        <v>270</v>
      </c>
      <c r="Q22" t="s">
        <v>212</v>
      </c>
      <c r="R22">
        <v>22.72</v>
      </c>
      <c r="S22">
        <v>4</v>
      </c>
      <c r="T22">
        <v>0.2</v>
      </c>
      <c r="U22">
        <v>7.3839999999999986</v>
      </c>
    </row>
    <row r="23" spans="1:21" x14ac:dyDescent="0.3">
      <c r="A23">
        <v>22</v>
      </c>
      <c r="B23" t="s">
        <v>488</v>
      </c>
      <c r="C23" s="1">
        <v>42703</v>
      </c>
      <c r="D23" s="1">
        <v>42717</v>
      </c>
      <c r="E23" t="s">
        <v>23</v>
      </c>
      <c r="F23" t="s">
        <v>286</v>
      </c>
      <c r="G23" t="s">
        <v>52</v>
      </c>
      <c r="H23" t="s">
        <v>17</v>
      </c>
      <c r="I23" t="s">
        <v>276</v>
      </c>
      <c r="J23" t="s">
        <v>53</v>
      </c>
      <c r="K23" t="s">
        <v>54</v>
      </c>
      <c r="L23">
        <v>68025</v>
      </c>
      <c r="M23" t="s">
        <v>42</v>
      </c>
      <c r="N23" t="s">
        <v>363</v>
      </c>
      <c r="O23" t="s">
        <v>21</v>
      </c>
      <c r="P23" t="s">
        <v>268</v>
      </c>
      <c r="Q23" t="s">
        <v>170</v>
      </c>
      <c r="R23">
        <v>19.459999999999997</v>
      </c>
      <c r="S23">
        <v>7</v>
      </c>
      <c r="T23">
        <v>0</v>
      </c>
      <c r="U23">
        <v>5.0595999999999997</v>
      </c>
    </row>
    <row r="24" spans="1:21" x14ac:dyDescent="0.3">
      <c r="A24">
        <v>23</v>
      </c>
      <c r="B24" t="s">
        <v>488</v>
      </c>
      <c r="C24" s="1">
        <v>42704</v>
      </c>
      <c r="D24" s="1">
        <v>42717</v>
      </c>
      <c r="E24" t="s">
        <v>23</v>
      </c>
      <c r="F24" t="s">
        <v>286</v>
      </c>
      <c r="G24" t="s">
        <v>52</v>
      </c>
      <c r="H24" t="s">
        <v>17</v>
      </c>
      <c r="I24" t="s">
        <v>276</v>
      </c>
      <c r="J24" t="s">
        <v>53</v>
      </c>
      <c r="K24" t="s">
        <v>54</v>
      </c>
      <c r="L24">
        <v>68025</v>
      </c>
      <c r="M24" t="s">
        <v>42</v>
      </c>
      <c r="N24" t="s">
        <v>364</v>
      </c>
      <c r="O24" t="s">
        <v>21</v>
      </c>
      <c r="P24" t="s">
        <v>30</v>
      </c>
      <c r="Q24" t="s">
        <v>220</v>
      </c>
      <c r="R24">
        <v>60.339999999999996</v>
      </c>
      <c r="S24">
        <v>7</v>
      </c>
      <c r="T24">
        <v>0</v>
      </c>
      <c r="U24">
        <v>15.688400000000001</v>
      </c>
    </row>
    <row r="25" spans="1:21" x14ac:dyDescent="0.3">
      <c r="A25">
        <v>24</v>
      </c>
      <c r="B25" t="s">
        <v>507</v>
      </c>
      <c r="C25" s="1">
        <v>42705</v>
      </c>
      <c r="D25" s="1">
        <v>42934</v>
      </c>
      <c r="E25" t="s">
        <v>7</v>
      </c>
      <c r="F25" t="s">
        <v>287</v>
      </c>
      <c r="G25" t="s">
        <v>55</v>
      </c>
      <c r="H25" t="s">
        <v>9</v>
      </c>
      <c r="I25" t="s">
        <v>276</v>
      </c>
      <c r="J25" t="s">
        <v>56</v>
      </c>
      <c r="K25" t="s">
        <v>57</v>
      </c>
      <c r="L25">
        <v>19140</v>
      </c>
      <c r="M25" t="s">
        <v>58</v>
      </c>
      <c r="N25" t="s">
        <v>365</v>
      </c>
      <c r="O25" t="s">
        <v>13</v>
      </c>
      <c r="P25" t="s">
        <v>265</v>
      </c>
      <c r="Q25" t="s">
        <v>174</v>
      </c>
      <c r="R25">
        <v>71.371999999999986</v>
      </c>
      <c r="S25">
        <v>2</v>
      </c>
      <c r="T25">
        <v>0.3</v>
      </c>
      <c r="U25">
        <v>-1.0196000000000005</v>
      </c>
    </row>
    <row r="26" spans="1:21" x14ac:dyDescent="0.3">
      <c r="A26">
        <v>25</v>
      </c>
      <c r="B26" t="s">
        <v>472</v>
      </c>
      <c r="C26" s="1">
        <v>42706</v>
      </c>
      <c r="D26" s="1">
        <v>42277</v>
      </c>
      <c r="E26" t="s">
        <v>23</v>
      </c>
      <c r="F26" t="s">
        <v>288</v>
      </c>
      <c r="G26" t="s">
        <v>59</v>
      </c>
      <c r="H26" t="s">
        <v>9</v>
      </c>
      <c r="I26" t="s">
        <v>276</v>
      </c>
      <c r="J26" t="s">
        <v>60</v>
      </c>
      <c r="K26" t="s">
        <v>49</v>
      </c>
      <c r="L26">
        <v>84057</v>
      </c>
      <c r="M26" t="s">
        <v>20</v>
      </c>
      <c r="N26" t="s">
        <v>345</v>
      </c>
      <c r="O26" t="s">
        <v>13</v>
      </c>
      <c r="P26" t="s">
        <v>27</v>
      </c>
      <c r="Q26" t="s">
        <v>167</v>
      </c>
      <c r="R26">
        <v>1044.6299999999999</v>
      </c>
      <c r="S26">
        <v>3</v>
      </c>
      <c r="T26">
        <v>0</v>
      </c>
      <c r="U26">
        <v>240.26490000000001</v>
      </c>
    </row>
    <row r="27" spans="1:21" x14ac:dyDescent="0.3">
      <c r="A27">
        <v>26</v>
      </c>
      <c r="B27" t="s">
        <v>489</v>
      </c>
      <c r="C27" s="1">
        <v>42707</v>
      </c>
      <c r="D27" s="1">
        <v>42389</v>
      </c>
      <c r="E27" t="s">
        <v>7</v>
      </c>
      <c r="F27" t="s">
        <v>289</v>
      </c>
      <c r="G27" t="s">
        <v>61</v>
      </c>
      <c r="H27" t="s">
        <v>9</v>
      </c>
      <c r="I27" t="s">
        <v>276</v>
      </c>
      <c r="J27" t="s">
        <v>18</v>
      </c>
      <c r="K27" t="s">
        <v>19</v>
      </c>
      <c r="L27">
        <v>90049</v>
      </c>
      <c r="M27" t="s">
        <v>20</v>
      </c>
      <c r="N27" t="s">
        <v>366</v>
      </c>
      <c r="O27" t="s">
        <v>21</v>
      </c>
      <c r="P27" t="s">
        <v>270</v>
      </c>
      <c r="Q27" t="s">
        <v>200</v>
      </c>
      <c r="R27">
        <v>11.648000000000001</v>
      </c>
      <c r="S27">
        <v>2</v>
      </c>
      <c r="T27">
        <v>0.2</v>
      </c>
      <c r="U27">
        <v>4.2224000000000004</v>
      </c>
    </row>
    <row r="28" spans="1:21" x14ac:dyDescent="0.3">
      <c r="A28">
        <v>27</v>
      </c>
      <c r="B28" t="s">
        <v>489</v>
      </c>
      <c r="C28" s="1">
        <v>42708</v>
      </c>
      <c r="D28" s="1">
        <v>42389</v>
      </c>
      <c r="E28" t="s">
        <v>7</v>
      </c>
      <c r="F28" t="s">
        <v>289</v>
      </c>
      <c r="G28" t="s">
        <v>61</v>
      </c>
      <c r="H28" t="s">
        <v>9</v>
      </c>
      <c r="I28" t="s">
        <v>276</v>
      </c>
      <c r="J28" t="s">
        <v>18</v>
      </c>
      <c r="K28" t="s">
        <v>19</v>
      </c>
      <c r="L28">
        <v>90049</v>
      </c>
      <c r="M28" t="s">
        <v>20</v>
      </c>
      <c r="N28" t="s">
        <v>367</v>
      </c>
      <c r="O28" t="s">
        <v>29</v>
      </c>
      <c r="P28" t="s">
        <v>271</v>
      </c>
      <c r="Q28" t="s">
        <v>190</v>
      </c>
      <c r="R28">
        <v>90.570000000000007</v>
      </c>
      <c r="S28">
        <v>3</v>
      </c>
      <c r="T28">
        <v>0</v>
      </c>
      <c r="U28">
        <v>11.774100000000004</v>
      </c>
    </row>
    <row r="29" spans="1:21" x14ac:dyDescent="0.3">
      <c r="A29">
        <v>28</v>
      </c>
      <c r="B29" t="s">
        <v>473</v>
      </c>
      <c r="C29" s="1">
        <v>42709</v>
      </c>
      <c r="D29" s="1">
        <v>42268</v>
      </c>
      <c r="E29" t="s">
        <v>23</v>
      </c>
      <c r="F29" t="s">
        <v>290</v>
      </c>
      <c r="G29" t="s">
        <v>62</v>
      </c>
      <c r="H29" t="s">
        <v>9</v>
      </c>
      <c r="I29" t="s">
        <v>276</v>
      </c>
      <c r="J29" t="s">
        <v>56</v>
      </c>
      <c r="K29" t="s">
        <v>57</v>
      </c>
      <c r="L29">
        <v>19140</v>
      </c>
      <c r="M29" t="s">
        <v>58</v>
      </c>
      <c r="N29" t="s">
        <v>368</v>
      </c>
      <c r="O29" t="s">
        <v>13</v>
      </c>
      <c r="P29" t="s">
        <v>14</v>
      </c>
      <c r="Q29" t="s">
        <v>63</v>
      </c>
      <c r="R29">
        <v>3083.4300000000003</v>
      </c>
      <c r="S29">
        <v>7</v>
      </c>
      <c r="T29">
        <v>0.5</v>
      </c>
      <c r="U29">
        <v>-1665.0522000000001</v>
      </c>
    </row>
    <row r="30" spans="1:21" x14ac:dyDescent="0.3">
      <c r="A30">
        <v>29</v>
      </c>
      <c r="B30" t="s">
        <v>473</v>
      </c>
      <c r="C30" s="1">
        <v>42710</v>
      </c>
      <c r="D30" s="1">
        <v>42268</v>
      </c>
      <c r="E30" t="s">
        <v>23</v>
      </c>
      <c r="F30" t="s">
        <v>290</v>
      </c>
      <c r="G30" t="s">
        <v>62</v>
      </c>
      <c r="H30" t="s">
        <v>9</v>
      </c>
      <c r="I30" t="s">
        <v>276</v>
      </c>
      <c r="J30" t="s">
        <v>56</v>
      </c>
      <c r="K30" t="s">
        <v>57</v>
      </c>
      <c r="L30">
        <v>19140</v>
      </c>
      <c r="M30" t="s">
        <v>58</v>
      </c>
      <c r="N30" t="s">
        <v>369</v>
      </c>
      <c r="O30" t="s">
        <v>21</v>
      </c>
      <c r="P30" t="s">
        <v>270</v>
      </c>
      <c r="Q30" t="s">
        <v>231</v>
      </c>
      <c r="R30">
        <v>9.6180000000000021</v>
      </c>
      <c r="S30">
        <v>2</v>
      </c>
      <c r="T30">
        <v>0.7</v>
      </c>
      <c r="U30">
        <v>-7.0532000000000004</v>
      </c>
    </row>
    <row r="31" spans="1:21" x14ac:dyDescent="0.3">
      <c r="A31">
        <v>30</v>
      </c>
      <c r="B31" t="s">
        <v>473</v>
      </c>
      <c r="C31" s="1">
        <v>42711</v>
      </c>
      <c r="D31" s="1">
        <v>42268</v>
      </c>
      <c r="E31" t="s">
        <v>23</v>
      </c>
      <c r="F31" t="s">
        <v>290</v>
      </c>
      <c r="G31" t="s">
        <v>62</v>
      </c>
      <c r="H31" t="s">
        <v>9</v>
      </c>
      <c r="I31" t="s">
        <v>276</v>
      </c>
      <c r="J31" t="s">
        <v>56</v>
      </c>
      <c r="K31" t="s">
        <v>57</v>
      </c>
      <c r="L31">
        <v>19140</v>
      </c>
      <c r="M31" t="s">
        <v>58</v>
      </c>
      <c r="N31" t="s">
        <v>370</v>
      </c>
      <c r="O31" t="s">
        <v>13</v>
      </c>
      <c r="P31" t="s">
        <v>267</v>
      </c>
      <c r="Q31" t="s">
        <v>194</v>
      </c>
      <c r="R31">
        <v>124.20000000000002</v>
      </c>
      <c r="S31">
        <v>3</v>
      </c>
      <c r="T31">
        <v>0.2</v>
      </c>
      <c r="U31">
        <v>15.524999999999991</v>
      </c>
    </row>
    <row r="32" spans="1:21" x14ac:dyDescent="0.3">
      <c r="A32">
        <v>31</v>
      </c>
      <c r="B32" t="s">
        <v>473</v>
      </c>
      <c r="C32" s="1">
        <v>42712</v>
      </c>
      <c r="D32" s="1">
        <v>42268</v>
      </c>
      <c r="E32" t="s">
        <v>23</v>
      </c>
      <c r="F32" t="s">
        <v>290</v>
      </c>
      <c r="G32" t="s">
        <v>62</v>
      </c>
      <c r="H32" t="s">
        <v>9</v>
      </c>
      <c r="I32" t="s">
        <v>276</v>
      </c>
      <c r="J32" t="s">
        <v>56</v>
      </c>
      <c r="K32" t="s">
        <v>57</v>
      </c>
      <c r="L32">
        <v>19140</v>
      </c>
      <c r="M32" t="s">
        <v>58</v>
      </c>
      <c r="N32" t="s">
        <v>371</v>
      </c>
      <c r="O32" t="s">
        <v>21</v>
      </c>
      <c r="P32" t="s">
        <v>70</v>
      </c>
      <c r="Q32" t="s">
        <v>119</v>
      </c>
      <c r="R32">
        <v>3.2640000000000002</v>
      </c>
      <c r="S32">
        <v>2</v>
      </c>
      <c r="T32">
        <v>0.2</v>
      </c>
      <c r="U32">
        <v>1.1015999999999997</v>
      </c>
    </row>
    <row r="33" spans="1:21" x14ac:dyDescent="0.3">
      <c r="A33">
        <v>32</v>
      </c>
      <c r="B33" t="s">
        <v>473</v>
      </c>
      <c r="C33" s="1">
        <v>42713</v>
      </c>
      <c r="D33" s="1">
        <v>42268</v>
      </c>
      <c r="E33" t="s">
        <v>23</v>
      </c>
      <c r="F33" t="s">
        <v>290</v>
      </c>
      <c r="G33" t="s">
        <v>62</v>
      </c>
      <c r="H33" t="s">
        <v>9</v>
      </c>
      <c r="I33" t="s">
        <v>276</v>
      </c>
      <c r="J33" t="s">
        <v>56</v>
      </c>
      <c r="K33" t="s">
        <v>57</v>
      </c>
      <c r="L33">
        <v>19140</v>
      </c>
      <c r="M33" t="s">
        <v>58</v>
      </c>
      <c r="N33" t="s">
        <v>372</v>
      </c>
      <c r="O33" t="s">
        <v>21</v>
      </c>
      <c r="P33" t="s">
        <v>268</v>
      </c>
      <c r="Q33" t="s">
        <v>218</v>
      </c>
      <c r="R33">
        <v>86.304000000000002</v>
      </c>
      <c r="S33">
        <v>6</v>
      </c>
      <c r="T33">
        <v>0.2</v>
      </c>
      <c r="U33">
        <v>9.7091999999999885</v>
      </c>
    </row>
    <row r="34" spans="1:21" x14ac:dyDescent="0.3">
      <c r="A34">
        <v>33</v>
      </c>
      <c r="B34" t="s">
        <v>473</v>
      </c>
      <c r="C34" s="1">
        <v>42714</v>
      </c>
      <c r="D34" s="1">
        <v>42268</v>
      </c>
      <c r="E34" t="s">
        <v>23</v>
      </c>
      <c r="F34" t="s">
        <v>290</v>
      </c>
      <c r="G34" t="s">
        <v>62</v>
      </c>
      <c r="H34" t="s">
        <v>9</v>
      </c>
      <c r="I34" t="s">
        <v>276</v>
      </c>
      <c r="J34" t="s">
        <v>56</v>
      </c>
      <c r="K34" t="s">
        <v>57</v>
      </c>
      <c r="L34">
        <v>19140</v>
      </c>
      <c r="M34" t="s">
        <v>58</v>
      </c>
      <c r="N34" t="s">
        <v>373</v>
      </c>
      <c r="O34" t="s">
        <v>21</v>
      </c>
      <c r="P34" t="s">
        <v>270</v>
      </c>
      <c r="Q34" t="s">
        <v>224</v>
      </c>
      <c r="R34">
        <v>6.8580000000000014</v>
      </c>
      <c r="S34">
        <v>6</v>
      </c>
      <c r="T34">
        <v>0.7</v>
      </c>
      <c r="U34">
        <v>-5.7149999999999999</v>
      </c>
    </row>
    <row r="35" spans="1:21" x14ac:dyDescent="0.3">
      <c r="A35">
        <v>34</v>
      </c>
      <c r="B35" t="s">
        <v>473</v>
      </c>
      <c r="C35" s="1">
        <v>42715</v>
      </c>
      <c r="D35" s="1">
        <v>42268</v>
      </c>
      <c r="E35" t="s">
        <v>23</v>
      </c>
      <c r="F35" t="s">
        <v>290</v>
      </c>
      <c r="G35" t="s">
        <v>62</v>
      </c>
      <c r="H35" t="s">
        <v>9</v>
      </c>
      <c r="I35" t="s">
        <v>276</v>
      </c>
      <c r="J35" t="s">
        <v>56</v>
      </c>
      <c r="K35" t="s">
        <v>57</v>
      </c>
      <c r="L35">
        <v>19140</v>
      </c>
      <c r="M35" t="s">
        <v>58</v>
      </c>
      <c r="N35" t="s">
        <v>374</v>
      </c>
      <c r="O35" t="s">
        <v>21</v>
      </c>
      <c r="P35" t="s">
        <v>268</v>
      </c>
      <c r="Q35" t="s">
        <v>243</v>
      </c>
      <c r="R35">
        <v>15.76</v>
      </c>
      <c r="S35">
        <v>2</v>
      </c>
      <c r="T35">
        <v>0.2</v>
      </c>
      <c r="U35">
        <v>3.5460000000000007</v>
      </c>
    </row>
    <row r="36" spans="1:21" x14ac:dyDescent="0.3">
      <c r="A36">
        <v>35</v>
      </c>
      <c r="B36" t="s">
        <v>508</v>
      </c>
      <c r="C36" s="1">
        <v>42716</v>
      </c>
      <c r="D36" s="1">
        <v>43031</v>
      </c>
      <c r="E36" t="s">
        <v>7</v>
      </c>
      <c r="F36" t="s">
        <v>291</v>
      </c>
      <c r="G36" t="s">
        <v>64</v>
      </c>
      <c r="H36" t="s">
        <v>39</v>
      </c>
      <c r="I36" t="s">
        <v>276</v>
      </c>
      <c r="J36" t="s">
        <v>65</v>
      </c>
      <c r="K36" t="s">
        <v>41</v>
      </c>
      <c r="L36">
        <v>77095</v>
      </c>
      <c r="M36" t="s">
        <v>42</v>
      </c>
      <c r="N36" t="s">
        <v>375</v>
      </c>
      <c r="O36" t="s">
        <v>21</v>
      </c>
      <c r="P36" t="s">
        <v>34</v>
      </c>
      <c r="Q36" t="s">
        <v>460</v>
      </c>
      <c r="R36">
        <v>29.472000000000001</v>
      </c>
      <c r="S36">
        <v>3</v>
      </c>
      <c r="T36">
        <v>0.2</v>
      </c>
      <c r="U36">
        <v>9.9467999999999979</v>
      </c>
    </row>
    <row r="37" spans="1:21" x14ac:dyDescent="0.3">
      <c r="A37">
        <v>36</v>
      </c>
      <c r="B37" t="s">
        <v>490</v>
      </c>
      <c r="C37" s="1">
        <v>42717</v>
      </c>
      <c r="D37" s="1">
        <v>42714</v>
      </c>
      <c r="E37" t="s">
        <v>66</v>
      </c>
      <c r="F37" t="s">
        <v>292</v>
      </c>
      <c r="G37" t="s">
        <v>67</v>
      </c>
      <c r="H37" t="s">
        <v>17</v>
      </c>
      <c r="I37" t="s">
        <v>276</v>
      </c>
      <c r="J37" t="s">
        <v>68</v>
      </c>
      <c r="K37" t="s">
        <v>41</v>
      </c>
      <c r="L37">
        <v>75080</v>
      </c>
      <c r="M37" t="s">
        <v>42</v>
      </c>
      <c r="N37" t="s">
        <v>376</v>
      </c>
      <c r="O37" t="s">
        <v>29</v>
      </c>
      <c r="P37" t="s">
        <v>269</v>
      </c>
      <c r="Q37" t="s">
        <v>252</v>
      </c>
      <c r="R37">
        <v>1097.5440000000003</v>
      </c>
      <c r="S37">
        <v>7</v>
      </c>
      <c r="T37">
        <v>0.2</v>
      </c>
      <c r="U37">
        <v>123.47369999999989</v>
      </c>
    </row>
    <row r="38" spans="1:21" x14ac:dyDescent="0.3">
      <c r="A38">
        <v>37</v>
      </c>
      <c r="B38" t="s">
        <v>490</v>
      </c>
      <c r="C38" s="1">
        <v>42718</v>
      </c>
      <c r="D38" s="1">
        <v>42714</v>
      </c>
      <c r="E38" t="s">
        <v>66</v>
      </c>
      <c r="F38" t="s">
        <v>292</v>
      </c>
      <c r="G38" t="s">
        <v>67</v>
      </c>
      <c r="H38" t="s">
        <v>17</v>
      </c>
      <c r="I38" t="s">
        <v>276</v>
      </c>
      <c r="J38" t="s">
        <v>68</v>
      </c>
      <c r="K38" t="s">
        <v>41</v>
      </c>
      <c r="L38">
        <v>75080</v>
      </c>
      <c r="M38" t="s">
        <v>42</v>
      </c>
      <c r="N38" t="s">
        <v>377</v>
      </c>
      <c r="O38" t="s">
        <v>13</v>
      </c>
      <c r="P38" t="s">
        <v>267</v>
      </c>
      <c r="Q38" t="s">
        <v>196</v>
      </c>
      <c r="R38">
        <v>190.92</v>
      </c>
      <c r="S38">
        <v>5</v>
      </c>
      <c r="T38">
        <v>0.6</v>
      </c>
      <c r="U38">
        <v>-147.96300000000002</v>
      </c>
    </row>
    <row r="39" spans="1:21" x14ac:dyDescent="0.3">
      <c r="A39">
        <v>38</v>
      </c>
      <c r="B39" t="s">
        <v>474</v>
      </c>
      <c r="C39" s="1">
        <v>42719</v>
      </c>
      <c r="D39" s="1">
        <v>42369</v>
      </c>
      <c r="E39" t="s">
        <v>23</v>
      </c>
      <c r="F39" t="s">
        <v>293</v>
      </c>
      <c r="G39" t="s">
        <v>69</v>
      </c>
      <c r="H39" t="s">
        <v>39</v>
      </c>
      <c r="I39" t="s">
        <v>276</v>
      </c>
      <c r="J39" t="s">
        <v>65</v>
      </c>
      <c r="K39" t="s">
        <v>41</v>
      </c>
      <c r="L39">
        <v>77041</v>
      </c>
      <c r="M39" t="s">
        <v>42</v>
      </c>
      <c r="N39" t="s">
        <v>378</v>
      </c>
      <c r="O39" t="s">
        <v>21</v>
      </c>
      <c r="P39" t="s">
        <v>70</v>
      </c>
      <c r="Q39" t="s">
        <v>206</v>
      </c>
      <c r="R39">
        <v>113.328</v>
      </c>
      <c r="S39">
        <v>9</v>
      </c>
      <c r="T39">
        <v>0.2</v>
      </c>
      <c r="U39">
        <v>35.414999999999999</v>
      </c>
    </row>
    <row r="40" spans="1:21" x14ac:dyDescent="0.3">
      <c r="A40">
        <v>39</v>
      </c>
      <c r="B40" t="s">
        <v>474</v>
      </c>
      <c r="C40" s="1">
        <v>42720</v>
      </c>
      <c r="D40" s="1">
        <v>42369</v>
      </c>
      <c r="E40" t="s">
        <v>23</v>
      </c>
      <c r="F40" t="s">
        <v>293</v>
      </c>
      <c r="G40" t="s">
        <v>69</v>
      </c>
      <c r="H40" t="s">
        <v>39</v>
      </c>
      <c r="I40" t="s">
        <v>276</v>
      </c>
      <c r="J40" t="s">
        <v>65</v>
      </c>
      <c r="K40" t="s">
        <v>41</v>
      </c>
      <c r="L40">
        <v>77041</v>
      </c>
      <c r="M40" t="s">
        <v>42</v>
      </c>
      <c r="N40" t="s">
        <v>379</v>
      </c>
      <c r="O40" t="s">
        <v>13</v>
      </c>
      <c r="P40" t="s">
        <v>14</v>
      </c>
      <c r="Q40" t="s">
        <v>71</v>
      </c>
      <c r="R40">
        <v>532.39919999999995</v>
      </c>
      <c r="S40">
        <v>3</v>
      </c>
      <c r="T40">
        <v>0.32</v>
      </c>
      <c r="U40">
        <v>-46.976400000000012</v>
      </c>
    </row>
    <row r="41" spans="1:21" x14ac:dyDescent="0.3">
      <c r="A41">
        <v>40</v>
      </c>
      <c r="B41" t="s">
        <v>474</v>
      </c>
      <c r="C41" s="1">
        <v>42721</v>
      </c>
      <c r="D41" s="1">
        <v>42369</v>
      </c>
      <c r="E41" t="s">
        <v>23</v>
      </c>
      <c r="F41" t="s">
        <v>293</v>
      </c>
      <c r="G41" t="s">
        <v>69</v>
      </c>
      <c r="H41" t="s">
        <v>39</v>
      </c>
      <c r="I41" t="s">
        <v>276</v>
      </c>
      <c r="J41" t="s">
        <v>65</v>
      </c>
      <c r="K41" t="s">
        <v>41</v>
      </c>
      <c r="L41">
        <v>77041</v>
      </c>
      <c r="M41" t="s">
        <v>42</v>
      </c>
      <c r="N41" t="s">
        <v>380</v>
      </c>
      <c r="O41" t="s">
        <v>13</v>
      </c>
      <c r="P41" t="s">
        <v>265</v>
      </c>
      <c r="Q41" t="s">
        <v>176</v>
      </c>
      <c r="R41">
        <v>212.05799999999999</v>
      </c>
      <c r="S41">
        <v>3</v>
      </c>
      <c r="T41">
        <v>0.3</v>
      </c>
      <c r="U41">
        <v>-15.146999999999991</v>
      </c>
    </row>
    <row r="42" spans="1:21" x14ac:dyDescent="0.3">
      <c r="A42">
        <v>41</v>
      </c>
      <c r="B42" t="s">
        <v>474</v>
      </c>
      <c r="C42" s="1">
        <v>42722</v>
      </c>
      <c r="D42" s="1">
        <v>42369</v>
      </c>
      <c r="E42" t="s">
        <v>23</v>
      </c>
      <c r="F42" t="s">
        <v>293</v>
      </c>
      <c r="G42" t="s">
        <v>69</v>
      </c>
      <c r="H42" t="s">
        <v>39</v>
      </c>
      <c r="I42" t="s">
        <v>276</v>
      </c>
      <c r="J42" t="s">
        <v>65</v>
      </c>
      <c r="K42" t="s">
        <v>41</v>
      </c>
      <c r="L42">
        <v>77041</v>
      </c>
      <c r="M42" t="s">
        <v>42</v>
      </c>
      <c r="N42" t="s">
        <v>381</v>
      </c>
      <c r="O42" t="s">
        <v>29</v>
      </c>
      <c r="P42" t="s">
        <v>269</v>
      </c>
      <c r="Q42" t="s">
        <v>255</v>
      </c>
      <c r="R42">
        <v>371.16800000000001</v>
      </c>
      <c r="S42">
        <v>4</v>
      </c>
      <c r="T42">
        <v>0.2</v>
      </c>
      <c r="U42">
        <v>41.756399999999957</v>
      </c>
    </row>
    <row r="43" spans="1:21" x14ac:dyDescent="0.3">
      <c r="A43">
        <v>42</v>
      </c>
      <c r="B43" t="s">
        <v>509</v>
      </c>
      <c r="C43" s="1">
        <v>42723</v>
      </c>
      <c r="D43" s="1">
        <v>42993</v>
      </c>
      <c r="E43" t="s">
        <v>23</v>
      </c>
      <c r="F43" t="s">
        <v>294</v>
      </c>
      <c r="G43" t="s">
        <v>72</v>
      </c>
      <c r="H43" t="s">
        <v>17</v>
      </c>
      <c r="I43" t="s">
        <v>276</v>
      </c>
      <c r="J43" t="s">
        <v>73</v>
      </c>
      <c r="K43" t="s">
        <v>74</v>
      </c>
      <c r="L43">
        <v>60540</v>
      </c>
      <c r="M43" t="s">
        <v>42</v>
      </c>
      <c r="N43" t="s">
        <v>382</v>
      </c>
      <c r="O43" t="s">
        <v>29</v>
      </c>
      <c r="P43" t="s">
        <v>269</v>
      </c>
      <c r="Q43" t="s">
        <v>183</v>
      </c>
      <c r="R43">
        <v>147.16800000000001</v>
      </c>
      <c r="S43">
        <v>4</v>
      </c>
      <c r="T43">
        <v>0.2</v>
      </c>
      <c r="U43">
        <v>16.556399999999996</v>
      </c>
    </row>
    <row r="44" spans="1:21" x14ac:dyDescent="0.3">
      <c r="A44">
        <v>43</v>
      </c>
      <c r="B44" t="s">
        <v>491</v>
      </c>
      <c r="C44" s="1">
        <v>42724</v>
      </c>
      <c r="D44" s="1">
        <v>42573</v>
      </c>
      <c r="E44" t="s">
        <v>23</v>
      </c>
      <c r="F44" t="s">
        <v>295</v>
      </c>
      <c r="G44" t="s">
        <v>75</v>
      </c>
      <c r="H44" t="s">
        <v>17</v>
      </c>
      <c r="I44" t="s">
        <v>276</v>
      </c>
      <c r="J44" t="s">
        <v>18</v>
      </c>
      <c r="K44" t="s">
        <v>19</v>
      </c>
      <c r="L44">
        <v>90049</v>
      </c>
      <c r="M44" t="s">
        <v>20</v>
      </c>
      <c r="N44" t="s">
        <v>383</v>
      </c>
      <c r="O44" t="s">
        <v>21</v>
      </c>
      <c r="P44" t="s">
        <v>266</v>
      </c>
      <c r="Q44" t="s">
        <v>225</v>
      </c>
      <c r="R44">
        <v>77.88</v>
      </c>
      <c r="S44">
        <v>2</v>
      </c>
      <c r="T44">
        <v>0</v>
      </c>
      <c r="U44">
        <v>3.8939999999999912</v>
      </c>
    </row>
    <row r="45" spans="1:21" x14ac:dyDescent="0.3">
      <c r="A45">
        <v>44</v>
      </c>
      <c r="B45" t="s">
        <v>510</v>
      </c>
      <c r="C45" s="1">
        <v>42725</v>
      </c>
      <c r="D45" s="1">
        <v>43001</v>
      </c>
      <c r="E45" t="s">
        <v>23</v>
      </c>
      <c r="F45" t="s">
        <v>296</v>
      </c>
      <c r="G45" t="s">
        <v>76</v>
      </c>
      <c r="H45" t="s">
        <v>17</v>
      </c>
      <c r="I45" t="s">
        <v>276</v>
      </c>
      <c r="J45" t="s">
        <v>77</v>
      </c>
      <c r="K45" t="s">
        <v>26</v>
      </c>
      <c r="L45">
        <v>32935</v>
      </c>
      <c r="M45" t="s">
        <v>12</v>
      </c>
      <c r="N45" t="s">
        <v>384</v>
      </c>
      <c r="O45" t="s">
        <v>21</v>
      </c>
      <c r="P45" t="s">
        <v>266</v>
      </c>
      <c r="Q45" t="s">
        <v>189</v>
      </c>
      <c r="R45">
        <v>95.616</v>
      </c>
      <c r="S45">
        <v>2</v>
      </c>
      <c r="T45">
        <v>0.2</v>
      </c>
      <c r="U45">
        <v>9.5616000000000092</v>
      </c>
    </row>
    <row r="46" spans="1:21" x14ac:dyDescent="0.3">
      <c r="A46">
        <v>45</v>
      </c>
      <c r="B46" t="s">
        <v>492</v>
      </c>
      <c r="C46" s="1">
        <v>42726</v>
      </c>
      <c r="D46" s="1">
        <v>42442</v>
      </c>
      <c r="E46" t="s">
        <v>66</v>
      </c>
      <c r="F46" t="s">
        <v>297</v>
      </c>
      <c r="G46" t="s">
        <v>78</v>
      </c>
      <c r="H46" t="s">
        <v>17</v>
      </c>
      <c r="I46" t="s">
        <v>276</v>
      </c>
      <c r="J46" t="s">
        <v>79</v>
      </c>
      <c r="K46" t="s">
        <v>80</v>
      </c>
      <c r="L46">
        <v>55122</v>
      </c>
      <c r="M46" t="s">
        <v>42</v>
      </c>
      <c r="N46" t="s">
        <v>385</v>
      </c>
      <c r="O46" t="s">
        <v>29</v>
      </c>
      <c r="P46" t="s">
        <v>271</v>
      </c>
      <c r="Q46" t="s">
        <v>245</v>
      </c>
      <c r="R46">
        <v>45.98</v>
      </c>
      <c r="S46">
        <v>2</v>
      </c>
      <c r="T46">
        <v>0</v>
      </c>
      <c r="U46">
        <v>19.7714</v>
      </c>
    </row>
    <row r="47" spans="1:21" x14ac:dyDescent="0.3">
      <c r="A47">
        <v>46</v>
      </c>
      <c r="B47" t="s">
        <v>492</v>
      </c>
      <c r="C47" s="1">
        <v>42727</v>
      </c>
      <c r="D47" s="1">
        <v>42442</v>
      </c>
      <c r="E47" t="s">
        <v>66</v>
      </c>
      <c r="F47" t="s">
        <v>297</v>
      </c>
      <c r="G47" t="s">
        <v>78</v>
      </c>
      <c r="H47" t="s">
        <v>17</v>
      </c>
      <c r="I47" t="s">
        <v>276</v>
      </c>
      <c r="J47" t="s">
        <v>79</v>
      </c>
      <c r="K47" t="s">
        <v>80</v>
      </c>
      <c r="L47">
        <v>55122</v>
      </c>
      <c r="M47" t="s">
        <v>42</v>
      </c>
      <c r="N47" t="s">
        <v>386</v>
      </c>
      <c r="O47" t="s">
        <v>21</v>
      </c>
      <c r="P47" t="s">
        <v>270</v>
      </c>
      <c r="Q47" t="s">
        <v>195</v>
      </c>
      <c r="R47">
        <v>17.46</v>
      </c>
      <c r="S47">
        <v>2</v>
      </c>
      <c r="T47">
        <v>0</v>
      </c>
      <c r="U47">
        <v>8.2061999999999991</v>
      </c>
    </row>
    <row r="48" spans="1:21" x14ac:dyDescent="0.3">
      <c r="A48">
        <v>47</v>
      </c>
      <c r="B48" t="s">
        <v>465</v>
      </c>
      <c r="C48" s="1">
        <v>42728</v>
      </c>
      <c r="D48" s="1">
        <v>41937</v>
      </c>
      <c r="E48" t="s">
        <v>7</v>
      </c>
      <c r="F48" t="s">
        <v>298</v>
      </c>
      <c r="G48" t="s">
        <v>81</v>
      </c>
      <c r="H48" t="s">
        <v>9</v>
      </c>
      <c r="I48" t="s">
        <v>276</v>
      </c>
      <c r="J48" t="s">
        <v>82</v>
      </c>
      <c r="K48" t="s">
        <v>83</v>
      </c>
      <c r="L48">
        <v>48185</v>
      </c>
      <c r="M48" t="s">
        <v>42</v>
      </c>
      <c r="N48" t="s">
        <v>387</v>
      </c>
      <c r="O48" t="s">
        <v>21</v>
      </c>
      <c r="P48" t="s">
        <v>266</v>
      </c>
      <c r="Q48" t="s">
        <v>175</v>
      </c>
      <c r="R48">
        <v>211.96</v>
      </c>
      <c r="S48">
        <v>4</v>
      </c>
      <c r="T48">
        <v>0</v>
      </c>
      <c r="U48">
        <v>8.4783999999999935</v>
      </c>
    </row>
    <row r="49" spans="1:21" x14ac:dyDescent="0.3">
      <c r="A49">
        <v>48</v>
      </c>
      <c r="B49" t="s">
        <v>493</v>
      </c>
      <c r="C49" s="1">
        <v>42729</v>
      </c>
      <c r="D49" s="1">
        <v>42546</v>
      </c>
      <c r="E49" t="s">
        <v>23</v>
      </c>
      <c r="F49" t="s">
        <v>299</v>
      </c>
      <c r="G49" t="s">
        <v>84</v>
      </c>
      <c r="H49" t="s">
        <v>9</v>
      </c>
      <c r="I49" t="s">
        <v>276</v>
      </c>
      <c r="J49" t="s">
        <v>85</v>
      </c>
      <c r="K49" t="s">
        <v>86</v>
      </c>
      <c r="L49">
        <v>19901</v>
      </c>
      <c r="M49" t="s">
        <v>58</v>
      </c>
      <c r="N49" t="s">
        <v>388</v>
      </c>
      <c r="O49" t="s">
        <v>29</v>
      </c>
      <c r="P49" t="s">
        <v>271</v>
      </c>
      <c r="Q49" t="s">
        <v>137</v>
      </c>
      <c r="R49">
        <v>45</v>
      </c>
      <c r="S49">
        <v>3</v>
      </c>
      <c r="T49">
        <v>0</v>
      </c>
      <c r="U49">
        <v>4.9500000000000011</v>
      </c>
    </row>
    <row r="50" spans="1:21" x14ac:dyDescent="0.3">
      <c r="A50">
        <v>49</v>
      </c>
      <c r="B50" t="s">
        <v>493</v>
      </c>
      <c r="C50" s="1">
        <v>42730</v>
      </c>
      <c r="D50" s="1">
        <v>42546</v>
      </c>
      <c r="E50" t="s">
        <v>23</v>
      </c>
      <c r="F50" t="s">
        <v>299</v>
      </c>
      <c r="G50" t="s">
        <v>84</v>
      </c>
      <c r="H50" t="s">
        <v>9</v>
      </c>
      <c r="I50" t="s">
        <v>276</v>
      </c>
      <c r="J50" t="s">
        <v>85</v>
      </c>
      <c r="K50" t="s">
        <v>86</v>
      </c>
      <c r="L50">
        <v>19901</v>
      </c>
      <c r="M50" t="s">
        <v>58</v>
      </c>
      <c r="N50" t="s">
        <v>389</v>
      </c>
      <c r="O50" t="s">
        <v>29</v>
      </c>
      <c r="P50" t="s">
        <v>269</v>
      </c>
      <c r="Q50" t="s">
        <v>203</v>
      </c>
      <c r="R50">
        <v>21.8</v>
      </c>
      <c r="S50">
        <v>2</v>
      </c>
      <c r="T50">
        <v>0</v>
      </c>
      <c r="U50">
        <v>6.104000000000001</v>
      </c>
    </row>
    <row r="51" spans="1:21" x14ac:dyDescent="0.3">
      <c r="A51">
        <v>50</v>
      </c>
      <c r="B51" t="s">
        <v>475</v>
      </c>
      <c r="C51" s="1">
        <v>42731</v>
      </c>
      <c r="D51" s="1">
        <v>42116</v>
      </c>
      <c r="E51" t="s">
        <v>23</v>
      </c>
      <c r="F51" t="s">
        <v>300</v>
      </c>
      <c r="G51" t="s">
        <v>87</v>
      </c>
      <c r="H51" t="s">
        <v>9</v>
      </c>
      <c r="I51" t="s">
        <v>276</v>
      </c>
      <c r="J51" t="s">
        <v>88</v>
      </c>
      <c r="K51" t="s">
        <v>89</v>
      </c>
      <c r="L51">
        <v>47150</v>
      </c>
      <c r="M51" t="s">
        <v>42</v>
      </c>
      <c r="N51" t="s">
        <v>390</v>
      </c>
      <c r="O51" t="s">
        <v>21</v>
      </c>
      <c r="P51" t="s">
        <v>270</v>
      </c>
      <c r="Q51" t="s">
        <v>263</v>
      </c>
      <c r="R51">
        <v>38.22</v>
      </c>
      <c r="S51">
        <v>6</v>
      </c>
      <c r="T51">
        <v>0</v>
      </c>
      <c r="U51">
        <v>17.9634</v>
      </c>
    </row>
    <row r="52" spans="1:21" x14ac:dyDescent="0.3">
      <c r="A52">
        <v>51</v>
      </c>
      <c r="B52" t="s">
        <v>475</v>
      </c>
      <c r="C52" s="1">
        <v>42732</v>
      </c>
      <c r="D52" s="1">
        <v>42116</v>
      </c>
      <c r="E52" t="s">
        <v>23</v>
      </c>
      <c r="F52" t="s">
        <v>300</v>
      </c>
      <c r="G52" t="s">
        <v>87</v>
      </c>
      <c r="H52" t="s">
        <v>9</v>
      </c>
      <c r="I52" t="s">
        <v>276</v>
      </c>
      <c r="J52" t="s">
        <v>88</v>
      </c>
      <c r="K52" t="s">
        <v>89</v>
      </c>
      <c r="L52">
        <v>47150</v>
      </c>
      <c r="M52" t="s">
        <v>42</v>
      </c>
      <c r="N52" t="s">
        <v>391</v>
      </c>
      <c r="O52" t="s">
        <v>21</v>
      </c>
      <c r="P52" t="s">
        <v>22</v>
      </c>
      <c r="Q52" t="s">
        <v>171</v>
      </c>
      <c r="R52">
        <v>75.179999999999993</v>
      </c>
      <c r="S52">
        <v>6</v>
      </c>
      <c r="T52">
        <v>0</v>
      </c>
      <c r="U52">
        <v>35.334599999999995</v>
      </c>
    </row>
    <row r="53" spans="1:21" x14ac:dyDescent="0.3">
      <c r="A53">
        <v>52</v>
      </c>
      <c r="B53" t="s">
        <v>475</v>
      </c>
      <c r="C53" s="1">
        <v>42733</v>
      </c>
      <c r="D53" s="1">
        <v>42116</v>
      </c>
      <c r="E53" t="s">
        <v>23</v>
      </c>
      <c r="F53" t="s">
        <v>300</v>
      </c>
      <c r="G53" t="s">
        <v>87</v>
      </c>
      <c r="H53" t="s">
        <v>9</v>
      </c>
      <c r="I53" t="s">
        <v>276</v>
      </c>
      <c r="J53" t="s">
        <v>88</v>
      </c>
      <c r="K53" t="s">
        <v>89</v>
      </c>
      <c r="L53">
        <v>47150</v>
      </c>
      <c r="M53" t="s">
        <v>42</v>
      </c>
      <c r="N53" t="s">
        <v>392</v>
      </c>
      <c r="O53" t="s">
        <v>13</v>
      </c>
      <c r="P53" t="s">
        <v>267</v>
      </c>
      <c r="Q53" t="s">
        <v>248</v>
      </c>
      <c r="R53">
        <v>6.16</v>
      </c>
      <c r="S53">
        <v>2</v>
      </c>
      <c r="T53">
        <v>0</v>
      </c>
      <c r="U53">
        <v>2.9567999999999999</v>
      </c>
    </row>
    <row r="54" spans="1:21" x14ac:dyDescent="0.3">
      <c r="A54">
        <v>53</v>
      </c>
      <c r="B54" t="s">
        <v>475</v>
      </c>
      <c r="C54" s="1">
        <v>42734</v>
      </c>
      <c r="D54" s="1">
        <v>42116</v>
      </c>
      <c r="E54" t="s">
        <v>23</v>
      </c>
      <c r="F54" t="s">
        <v>300</v>
      </c>
      <c r="G54" t="s">
        <v>87</v>
      </c>
      <c r="H54" t="s">
        <v>9</v>
      </c>
      <c r="I54" t="s">
        <v>276</v>
      </c>
      <c r="J54" t="s">
        <v>88</v>
      </c>
      <c r="K54" t="s">
        <v>89</v>
      </c>
      <c r="L54">
        <v>47150</v>
      </c>
      <c r="M54" t="s">
        <v>42</v>
      </c>
      <c r="N54" t="s">
        <v>393</v>
      </c>
      <c r="O54" t="s">
        <v>13</v>
      </c>
      <c r="P54" t="s">
        <v>265</v>
      </c>
      <c r="Q54" t="s">
        <v>214</v>
      </c>
      <c r="R54">
        <v>89.99</v>
      </c>
      <c r="S54">
        <v>1</v>
      </c>
      <c r="T54">
        <v>0</v>
      </c>
      <c r="U54">
        <v>17.098099999999988</v>
      </c>
    </row>
    <row r="55" spans="1:21" x14ac:dyDescent="0.3">
      <c r="A55">
        <v>54</v>
      </c>
      <c r="B55" t="s">
        <v>494</v>
      </c>
      <c r="C55" s="1">
        <v>42735</v>
      </c>
      <c r="D55" s="1">
        <v>42721</v>
      </c>
      <c r="E55" t="s">
        <v>23</v>
      </c>
      <c r="F55" t="s">
        <v>301</v>
      </c>
      <c r="G55" t="s">
        <v>90</v>
      </c>
      <c r="H55" t="s">
        <v>17</v>
      </c>
      <c r="I55" t="s">
        <v>276</v>
      </c>
      <c r="J55" t="s">
        <v>91</v>
      </c>
      <c r="K55" t="s">
        <v>92</v>
      </c>
      <c r="L55">
        <v>10024</v>
      </c>
      <c r="M55" t="s">
        <v>58</v>
      </c>
      <c r="N55" t="s">
        <v>394</v>
      </c>
      <c r="O55" t="s">
        <v>21</v>
      </c>
      <c r="P55" t="s">
        <v>272</v>
      </c>
      <c r="Q55" t="s">
        <v>251</v>
      </c>
      <c r="R55">
        <v>15.260000000000002</v>
      </c>
      <c r="S55">
        <v>7</v>
      </c>
      <c r="T55">
        <v>0</v>
      </c>
      <c r="U55">
        <v>6.2566000000000006</v>
      </c>
    </row>
    <row r="56" spans="1:21" x14ac:dyDescent="0.3">
      <c r="A56">
        <v>55</v>
      </c>
      <c r="B56" t="s">
        <v>494</v>
      </c>
      <c r="C56" s="1">
        <v>42736</v>
      </c>
      <c r="D56" s="1">
        <v>42721</v>
      </c>
      <c r="E56" t="s">
        <v>23</v>
      </c>
      <c r="F56" t="s">
        <v>301</v>
      </c>
      <c r="G56" t="s">
        <v>90</v>
      </c>
      <c r="H56" t="s">
        <v>17</v>
      </c>
      <c r="I56" t="s">
        <v>276</v>
      </c>
      <c r="J56" t="s">
        <v>91</v>
      </c>
      <c r="K56" t="s">
        <v>92</v>
      </c>
      <c r="L56">
        <v>10024</v>
      </c>
      <c r="M56" t="s">
        <v>58</v>
      </c>
      <c r="N56" t="s">
        <v>395</v>
      </c>
      <c r="O56" t="s">
        <v>29</v>
      </c>
      <c r="P56" t="s">
        <v>269</v>
      </c>
      <c r="Q56" t="s">
        <v>213</v>
      </c>
      <c r="R56">
        <v>1029.95</v>
      </c>
      <c r="S56">
        <v>5</v>
      </c>
      <c r="T56">
        <v>0</v>
      </c>
      <c r="U56">
        <v>298.68549999999999</v>
      </c>
    </row>
    <row r="57" spans="1:21" x14ac:dyDescent="0.3">
      <c r="A57">
        <v>56</v>
      </c>
      <c r="B57" t="s">
        <v>495</v>
      </c>
      <c r="C57" s="1">
        <v>42737</v>
      </c>
      <c r="D57" s="1">
        <v>42539</v>
      </c>
      <c r="E57" t="s">
        <v>66</v>
      </c>
      <c r="F57" t="s">
        <v>302</v>
      </c>
      <c r="G57" t="s">
        <v>93</v>
      </c>
      <c r="H57" t="s">
        <v>9</v>
      </c>
      <c r="I57" t="s">
        <v>276</v>
      </c>
      <c r="J57" t="s">
        <v>94</v>
      </c>
      <c r="K57" t="s">
        <v>92</v>
      </c>
      <c r="L57">
        <v>12180</v>
      </c>
      <c r="M57" t="s">
        <v>58</v>
      </c>
      <c r="N57" t="s">
        <v>396</v>
      </c>
      <c r="O57" t="s">
        <v>21</v>
      </c>
      <c r="P57" t="s">
        <v>266</v>
      </c>
      <c r="Q57" t="s">
        <v>178</v>
      </c>
      <c r="R57">
        <v>208.56</v>
      </c>
      <c r="S57">
        <v>6</v>
      </c>
      <c r="T57">
        <v>0</v>
      </c>
      <c r="U57">
        <v>52.139999999999986</v>
      </c>
    </row>
    <row r="58" spans="1:21" x14ac:dyDescent="0.3">
      <c r="A58">
        <v>57</v>
      </c>
      <c r="B58" t="s">
        <v>495</v>
      </c>
      <c r="C58" s="1">
        <v>42738</v>
      </c>
      <c r="D58" s="1">
        <v>42539</v>
      </c>
      <c r="E58" t="s">
        <v>66</v>
      </c>
      <c r="F58" t="s">
        <v>302</v>
      </c>
      <c r="G58" t="s">
        <v>93</v>
      </c>
      <c r="H58" t="s">
        <v>9</v>
      </c>
      <c r="I58" t="s">
        <v>276</v>
      </c>
      <c r="J58" t="s">
        <v>94</v>
      </c>
      <c r="K58" t="s">
        <v>92</v>
      </c>
      <c r="L58">
        <v>12180</v>
      </c>
      <c r="M58" t="s">
        <v>58</v>
      </c>
      <c r="N58" t="s">
        <v>397</v>
      </c>
      <c r="O58" t="s">
        <v>21</v>
      </c>
      <c r="P58" t="s">
        <v>34</v>
      </c>
      <c r="Q58" t="s">
        <v>242</v>
      </c>
      <c r="R58">
        <v>32.400000000000006</v>
      </c>
      <c r="S58">
        <v>5</v>
      </c>
      <c r="T58">
        <v>0</v>
      </c>
      <c r="U58">
        <v>15.552000000000001</v>
      </c>
    </row>
    <row r="59" spans="1:21" x14ac:dyDescent="0.3">
      <c r="A59">
        <v>58</v>
      </c>
      <c r="B59" t="s">
        <v>495</v>
      </c>
      <c r="C59" s="1">
        <v>42739</v>
      </c>
      <c r="D59" s="1">
        <v>42539</v>
      </c>
      <c r="E59" t="s">
        <v>66</v>
      </c>
      <c r="F59" t="s">
        <v>302</v>
      </c>
      <c r="G59" t="s">
        <v>93</v>
      </c>
      <c r="H59" t="s">
        <v>9</v>
      </c>
      <c r="I59" t="s">
        <v>276</v>
      </c>
      <c r="J59" t="s">
        <v>94</v>
      </c>
      <c r="K59" t="s">
        <v>92</v>
      </c>
      <c r="L59">
        <v>12180</v>
      </c>
      <c r="M59" t="s">
        <v>58</v>
      </c>
      <c r="N59" t="s">
        <v>398</v>
      </c>
      <c r="O59" t="s">
        <v>13</v>
      </c>
      <c r="P59" t="s">
        <v>265</v>
      </c>
      <c r="Q59" t="s">
        <v>216</v>
      </c>
      <c r="R59">
        <v>319.41000000000003</v>
      </c>
      <c r="S59">
        <v>5</v>
      </c>
      <c r="T59">
        <v>0.1</v>
      </c>
      <c r="U59">
        <v>7.0980000000000061</v>
      </c>
    </row>
    <row r="60" spans="1:21" x14ac:dyDescent="0.3">
      <c r="A60">
        <v>59</v>
      </c>
      <c r="B60" t="s">
        <v>495</v>
      </c>
      <c r="C60" s="1">
        <v>42740</v>
      </c>
      <c r="D60" s="1">
        <v>42539</v>
      </c>
      <c r="E60" t="s">
        <v>66</v>
      </c>
      <c r="F60" t="s">
        <v>302</v>
      </c>
      <c r="G60" t="s">
        <v>93</v>
      </c>
      <c r="H60" t="s">
        <v>9</v>
      </c>
      <c r="I60" t="s">
        <v>276</v>
      </c>
      <c r="J60" t="s">
        <v>94</v>
      </c>
      <c r="K60" t="s">
        <v>92</v>
      </c>
      <c r="L60">
        <v>12180</v>
      </c>
      <c r="M60" t="s">
        <v>58</v>
      </c>
      <c r="N60" t="s">
        <v>399</v>
      </c>
      <c r="O60" t="s">
        <v>21</v>
      </c>
      <c r="P60" t="s">
        <v>34</v>
      </c>
      <c r="Q60" t="s">
        <v>258</v>
      </c>
      <c r="R60">
        <v>14.56</v>
      </c>
      <c r="S60">
        <v>2</v>
      </c>
      <c r="T60">
        <v>0</v>
      </c>
      <c r="U60">
        <v>6.9888000000000003</v>
      </c>
    </row>
    <row r="61" spans="1:21" x14ac:dyDescent="0.3">
      <c r="A61">
        <v>60</v>
      </c>
      <c r="B61" t="s">
        <v>495</v>
      </c>
      <c r="C61" s="1">
        <v>42741</v>
      </c>
      <c r="D61" s="1">
        <v>42539</v>
      </c>
      <c r="E61" t="s">
        <v>66</v>
      </c>
      <c r="F61" t="s">
        <v>302</v>
      </c>
      <c r="G61" t="s">
        <v>93</v>
      </c>
      <c r="H61" t="s">
        <v>9</v>
      </c>
      <c r="I61" t="s">
        <v>276</v>
      </c>
      <c r="J61" t="s">
        <v>94</v>
      </c>
      <c r="K61" t="s">
        <v>92</v>
      </c>
      <c r="L61">
        <v>12180</v>
      </c>
      <c r="M61" t="s">
        <v>58</v>
      </c>
      <c r="N61" t="s">
        <v>388</v>
      </c>
      <c r="O61" t="s">
        <v>29</v>
      </c>
      <c r="P61" t="s">
        <v>271</v>
      </c>
      <c r="Q61" t="s">
        <v>137</v>
      </c>
      <c r="R61">
        <v>30</v>
      </c>
      <c r="S61">
        <v>2</v>
      </c>
      <c r="T61">
        <v>0</v>
      </c>
      <c r="U61">
        <v>3.3000000000000007</v>
      </c>
    </row>
    <row r="62" spans="1:21" x14ac:dyDescent="0.3">
      <c r="A62">
        <v>61</v>
      </c>
      <c r="B62" t="s">
        <v>495</v>
      </c>
      <c r="C62" s="1">
        <v>42742</v>
      </c>
      <c r="D62" s="1">
        <v>42539</v>
      </c>
      <c r="E62" t="s">
        <v>66</v>
      </c>
      <c r="F62" t="s">
        <v>302</v>
      </c>
      <c r="G62" t="s">
        <v>93</v>
      </c>
      <c r="H62" t="s">
        <v>9</v>
      </c>
      <c r="I62" t="s">
        <v>276</v>
      </c>
      <c r="J62" t="s">
        <v>94</v>
      </c>
      <c r="K62" t="s">
        <v>92</v>
      </c>
      <c r="L62">
        <v>12180</v>
      </c>
      <c r="M62" t="s">
        <v>58</v>
      </c>
      <c r="N62" t="s">
        <v>400</v>
      </c>
      <c r="O62" t="s">
        <v>21</v>
      </c>
      <c r="P62" t="s">
        <v>270</v>
      </c>
      <c r="Q62" t="s">
        <v>241</v>
      </c>
      <c r="R62">
        <v>48.480000000000004</v>
      </c>
      <c r="S62">
        <v>4</v>
      </c>
      <c r="T62">
        <v>0.2</v>
      </c>
      <c r="U62">
        <v>16.361999999999998</v>
      </c>
    </row>
    <row r="63" spans="1:21" x14ac:dyDescent="0.3">
      <c r="A63">
        <v>62</v>
      </c>
      <c r="B63" t="s">
        <v>495</v>
      </c>
      <c r="C63" s="1">
        <v>42743</v>
      </c>
      <c r="D63" s="1">
        <v>42539</v>
      </c>
      <c r="E63" t="s">
        <v>66</v>
      </c>
      <c r="F63" t="s">
        <v>302</v>
      </c>
      <c r="G63" t="s">
        <v>93</v>
      </c>
      <c r="H63" t="s">
        <v>9</v>
      </c>
      <c r="I63" t="s">
        <v>276</v>
      </c>
      <c r="J63" t="s">
        <v>94</v>
      </c>
      <c r="K63" t="s">
        <v>92</v>
      </c>
      <c r="L63">
        <v>12180</v>
      </c>
      <c r="M63" t="s">
        <v>58</v>
      </c>
      <c r="N63" t="s">
        <v>401</v>
      </c>
      <c r="O63" t="s">
        <v>21</v>
      </c>
      <c r="P63" t="s">
        <v>268</v>
      </c>
      <c r="Q63" t="s">
        <v>163</v>
      </c>
      <c r="R63">
        <v>1.68</v>
      </c>
      <c r="S63">
        <v>1</v>
      </c>
      <c r="T63">
        <v>0</v>
      </c>
      <c r="U63">
        <v>0.84</v>
      </c>
    </row>
    <row r="64" spans="1:21" x14ac:dyDescent="0.3">
      <c r="A64">
        <v>63</v>
      </c>
      <c r="B64" t="s">
        <v>476</v>
      </c>
      <c r="C64" s="1">
        <v>42744</v>
      </c>
      <c r="D64" s="1">
        <v>42338</v>
      </c>
      <c r="E64" t="s">
        <v>23</v>
      </c>
      <c r="F64" t="s">
        <v>303</v>
      </c>
      <c r="G64" t="s">
        <v>96</v>
      </c>
      <c r="H64" t="s">
        <v>9</v>
      </c>
      <c r="I64" t="s">
        <v>276</v>
      </c>
      <c r="J64" t="s">
        <v>18</v>
      </c>
      <c r="K64" t="s">
        <v>19</v>
      </c>
      <c r="L64">
        <v>90004</v>
      </c>
      <c r="M64" t="s">
        <v>20</v>
      </c>
      <c r="N64" t="s">
        <v>402</v>
      </c>
      <c r="O64" t="s">
        <v>29</v>
      </c>
      <c r="P64" t="s">
        <v>271</v>
      </c>
      <c r="Q64" t="s">
        <v>273</v>
      </c>
      <c r="R64">
        <v>13.98</v>
      </c>
      <c r="S64">
        <v>2</v>
      </c>
      <c r="T64">
        <v>0</v>
      </c>
      <c r="U64">
        <v>6.1512000000000011</v>
      </c>
    </row>
    <row r="65" spans="1:21" x14ac:dyDescent="0.3">
      <c r="A65">
        <v>64</v>
      </c>
      <c r="B65" t="s">
        <v>476</v>
      </c>
      <c r="C65" s="1">
        <v>42745</v>
      </c>
      <c r="D65" s="1">
        <v>42338</v>
      </c>
      <c r="E65" t="s">
        <v>23</v>
      </c>
      <c r="F65" t="s">
        <v>303</v>
      </c>
      <c r="G65" t="s">
        <v>96</v>
      </c>
      <c r="H65" t="s">
        <v>9</v>
      </c>
      <c r="I65" t="s">
        <v>276</v>
      </c>
      <c r="J65" t="s">
        <v>18</v>
      </c>
      <c r="K65" t="s">
        <v>19</v>
      </c>
      <c r="L65">
        <v>90004</v>
      </c>
      <c r="M65" t="s">
        <v>20</v>
      </c>
      <c r="N65" t="s">
        <v>403</v>
      </c>
      <c r="O65" t="s">
        <v>21</v>
      </c>
      <c r="P65" t="s">
        <v>270</v>
      </c>
      <c r="Q65" t="s">
        <v>106</v>
      </c>
      <c r="R65">
        <v>25.824000000000002</v>
      </c>
      <c r="S65">
        <v>6</v>
      </c>
      <c r="T65">
        <v>0.2</v>
      </c>
      <c r="U65">
        <v>9.3612000000000002</v>
      </c>
    </row>
    <row r="66" spans="1:21" x14ac:dyDescent="0.3">
      <c r="A66">
        <v>65</v>
      </c>
      <c r="B66" t="s">
        <v>476</v>
      </c>
      <c r="C66" s="1">
        <v>42746</v>
      </c>
      <c r="D66" s="1">
        <v>42338</v>
      </c>
      <c r="E66" t="s">
        <v>23</v>
      </c>
      <c r="F66" t="s">
        <v>303</v>
      </c>
      <c r="G66" t="s">
        <v>96</v>
      </c>
      <c r="H66" t="s">
        <v>9</v>
      </c>
      <c r="I66" t="s">
        <v>276</v>
      </c>
      <c r="J66" t="s">
        <v>18</v>
      </c>
      <c r="K66" t="s">
        <v>19</v>
      </c>
      <c r="L66">
        <v>90004</v>
      </c>
      <c r="M66" t="s">
        <v>20</v>
      </c>
      <c r="N66" t="s">
        <v>404</v>
      </c>
      <c r="O66" t="s">
        <v>21</v>
      </c>
      <c r="P66" t="s">
        <v>34</v>
      </c>
      <c r="Q66" t="s">
        <v>204</v>
      </c>
      <c r="R66">
        <v>146.72999999999999</v>
      </c>
      <c r="S66">
        <v>3</v>
      </c>
      <c r="T66">
        <v>0</v>
      </c>
      <c r="U66">
        <v>68.963099999999997</v>
      </c>
    </row>
    <row r="67" spans="1:21" x14ac:dyDescent="0.3">
      <c r="A67">
        <v>66</v>
      </c>
      <c r="B67" t="s">
        <v>476</v>
      </c>
      <c r="C67" s="1">
        <v>42747</v>
      </c>
      <c r="D67" s="1">
        <v>42338</v>
      </c>
      <c r="E67" t="s">
        <v>23</v>
      </c>
      <c r="F67" t="s">
        <v>303</v>
      </c>
      <c r="G67" t="s">
        <v>96</v>
      </c>
      <c r="H67" t="s">
        <v>9</v>
      </c>
      <c r="I67" t="s">
        <v>276</v>
      </c>
      <c r="J67" t="s">
        <v>18</v>
      </c>
      <c r="K67" t="s">
        <v>19</v>
      </c>
      <c r="L67">
        <v>90004</v>
      </c>
      <c r="M67" t="s">
        <v>20</v>
      </c>
      <c r="N67" t="s">
        <v>405</v>
      </c>
      <c r="O67" t="s">
        <v>13</v>
      </c>
      <c r="P67" t="s">
        <v>267</v>
      </c>
      <c r="Q67" t="s">
        <v>168</v>
      </c>
      <c r="R67">
        <v>79.760000000000005</v>
      </c>
      <c r="S67">
        <v>4</v>
      </c>
      <c r="T67">
        <v>0</v>
      </c>
      <c r="U67">
        <v>22.332800000000006</v>
      </c>
    </row>
    <row r="68" spans="1:21" x14ac:dyDescent="0.3">
      <c r="A68">
        <v>67</v>
      </c>
      <c r="B68" t="s">
        <v>477</v>
      </c>
      <c r="C68" s="1">
        <v>42748</v>
      </c>
      <c r="D68" s="1">
        <v>42129</v>
      </c>
      <c r="E68" t="s">
        <v>23</v>
      </c>
      <c r="F68" t="s">
        <v>304</v>
      </c>
      <c r="G68" t="s">
        <v>97</v>
      </c>
      <c r="H68" t="s">
        <v>39</v>
      </c>
      <c r="I68" t="s">
        <v>276</v>
      </c>
      <c r="J68" t="s">
        <v>98</v>
      </c>
      <c r="K68" t="s">
        <v>74</v>
      </c>
      <c r="L68">
        <v>60610</v>
      </c>
      <c r="M68" t="s">
        <v>42</v>
      </c>
      <c r="N68" t="s">
        <v>406</v>
      </c>
      <c r="O68" t="s">
        <v>13</v>
      </c>
      <c r="P68" t="s">
        <v>265</v>
      </c>
      <c r="Q68" t="s">
        <v>164</v>
      </c>
      <c r="R68">
        <v>213.11499999999998</v>
      </c>
      <c r="S68">
        <v>5</v>
      </c>
      <c r="T68">
        <v>0.3</v>
      </c>
      <c r="U68">
        <v>-15.222500000000011</v>
      </c>
    </row>
    <row r="69" spans="1:21" x14ac:dyDescent="0.3">
      <c r="A69">
        <v>68</v>
      </c>
      <c r="B69" t="s">
        <v>466</v>
      </c>
      <c r="C69" s="1">
        <v>42749</v>
      </c>
      <c r="D69" s="1">
        <v>41983</v>
      </c>
      <c r="E69" t="s">
        <v>23</v>
      </c>
      <c r="F69" t="s">
        <v>305</v>
      </c>
      <c r="G69" t="s">
        <v>99</v>
      </c>
      <c r="H69" t="s">
        <v>17</v>
      </c>
      <c r="I69" t="s">
        <v>276</v>
      </c>
      <c r="J69" t="s">
        <v>100</v>
      </c>
      <c r="K69" t="s">
        <v>101</v>
      </c>
      <c r="L69">
        <v>85234</v>
      </c>
      <c r="M69" t="s">
        <v>20</v>
      </c>
      <c r="N69" t="s">
        <v>407</v>
      </c>
      <c r="O69" t="s">
        <v>21</v>
      </c>
      <c r="P69" t="s">
        <v>268</v>
      </c>
      <c r="Q69" t="s">
        <v>166</v>
      </c>
      <c r="R69">
        <v>1113.0240000000001</v>
      </c>
      <c r="S69">
        <v>8</v>
      </c>
      <c r="T69">
        <v>0.2</v>
      </c>
      <c r="U69">
        <v>111.30239999999998</v>
      </c>
    </row>
    <row r="70" spans="1:21" x14ac:dyDescent="0.3">
      <c r="A70">
        <v>69</v>
      </c>
      <c r="B70" t="s">
        <v>466</v>
      </c>
      <c r="C70" s="1">
        <v>42750</v>
      </c>
      <c r="D70" s="1">
        <v>41983</v>
      </c>
      <c r="E70" t="s">
        <v>23</v>
      </c>
      <c r="F70" t="s">
        <v>305</v>
      </c>
      <c r="G70" t="s">
        <v>99</v>
      </c>
      <c r="H70" t="s">
        <v>17</v>
      </c>
      <c r="I70" t="s">
        <v>276</v>
      </c>
      <c r="J70" t="s">
        <v>100</v>
      </c>
      <c r="K70" t="s">
        <v>101</v>
      </c>
      <c r="L70">
        <v>85234</v>
      </c>
      <c r="M70" t="s">
        <v>20</v>
      </c>
      <c r="N70" t="s">
        <v>408</v>
      </c>
      <c r="O70" t="s">
        <v>29</v>
      </c>
      <c r="P70" t="s">
        <v>269</v>
      </c>
      <c r="Q70" t="s">
        <v>233</v>
      </c>
      <c r="R70">
        <v>167.96800000000002</v>
      </c>
      <c r="S70">
        <v>4</v>
      </c>
      <c r="T70">
        <v>0.2</v>
      </c>
      <c r="U70">
        <v>62.988</v>
      </c>
    </row>
    <row r="71" spans="1:21" x14ac:dyDescent="0.3">
      <c r="A71">
        <v>70</v>
      </c>
      <c r="B71" t="s">
        <v>496</v>
      </c>
      <c r="C71" s="1">
        <v>42751</v>
      </c>
      <c r="D71" s="1">
        <v>42527</v>
      </c>
      <c r="E71" t="s">
        <v>66</v>
      </c>
      <c r="F71" t="s">
        <v>306</v>
      </c>
      <c r="G71" t="s">
        <v>102</v>
      </c>
      <c r="H71" t="s">
        <v>9</v>
      </c>
      <c r="I71" t="s">
        <v>276</v>
      </c>
      <c r="J71" t="s">
        <v>103</v>
      </c>
      <c r="K71" t="s">
        <v>104</v>
      </c>
      <c r="L71">
        <v>22153</v>
      </c>
      <c r="M71" t="s">
        <v>12</v>
      </c>
      <c r="N71" t="s">
        <v>409</v>
      </c>
      <c r="O71" t="s">
        <v>21</v>
      </c>
      <c r="P71" t="s">
        <v>34</v>
      </c>
      <c r="Q71" t="s">
        <v>254</v>
      </c>
      <c r="R71">
        <v>75.88</v>
      </c>
      <c r="S71">
        <v>2</v>
      </c>
      <c r="T71">
        <v>0</v>
      </c>
      <c r="U71">
        <v>35.663599999999995</v>
      </c>
    </row>
    <row r="72" spans="1:21" x14ac:dyDescent="0.3">
      <c r="A72">
        <v>71</v>
      </c>
      <c r="B72" t="s">
        <v>497</v>
      </c>
      <c r="C72" s="1">
        <v>42752</v>
      </c>
      <c r="D72" s="1">
        <v>42636</v>
      </c>
      <c r="E72" t="s">
        <v>23</v>
      </c>
      <c r="F72" t="s">
        <v>307</v>
      </c>
      <c r="G72" t="s">
        <v>105</v>
      </c>
      <c r="H72" t="s">
        <v>9</v>
      </c>
      <c r="I72" t="s">
        <v>276</v>
      </c>
      <c r="J72" t="s">
        <v>91</v>
      </c>
      <c r="K72" t="s">
        <v>92</v>
      </c>
      <c r="L72">
        <v>10009</v>
      </c>
      <c r="M72" t="s">
        <v>58</v>
      </c>
      <c r="N72" t="s">
        <v>410</v>
      </c>
      <c r="O72" t="s">
        <v>21</v>
      </c>
      <c r="P72" t="s">
        <v>270</v>
      </c>
      <c r="Q72" t="s">
        <v>205</v>
      </c>
      <c r="R72">
        <v>4.6159999999999997</v>
      </c>
      <c r="S72">
        <v>1</v>
      </c>
      <c r="T72">
        <v>0.2</v>
      </c>
      <c r="U72">
        <v>1.7309999999999999</v>
      </c>
    </row>
    <row r="73" spans="1:21" x14ac:dyDescent="0.3">
      <c r="A73">
        <v>72</v>
      </c>
      <c r="B73" t="s">
        <v>511</v>
      </c>
      <c r="C73" s="1">
        <v>42753</v>
      </c>
      <c r="D73" s="1">
        <v>42995</v>
      </c>
      <c r="E73" t="s">
        <v>7</v>
      </c>
      <c r="F73" t="s">
        <v>290</v>
      </c>
      <c r="G73" t="s">
        <v>62</v>
      </c>
      <c r="H73" t="s">
        <v>9</v>
      </c>
      <c r="I73" t="s">
        <v>276</v>
      </c>
      <c r="J73" t="s">
        <v>107</v>
      </c>
      <c r="K73" t="s">
        <v>83</v>
      </c>
      <c r="L73">
        <v>49201</v>
      </c>
      <c r="M73" t="s">
        <v>42</v>
      </c>
      <c r="N73" t="s">
        <v>411</v>
      </c>
      <c r="O73" t="s">
        <v>21</v>
      </c>
      <c r="P73" t="s">
        <v>34</v>
      </c>
      <c r="Q73" t="s">
        <v>244</v>
      </c>
      <c r="R73">
        <v>19.049999999999997</v>
      </c>
      <c r="S73">
        <v>3</v>
      </c>
      <c r="T73">
        <v>0</v>
      </c>
      <c r="U73">
        <v>8.7629999999999999</v>
      </c>
    </row>
    <row r="74" spans="1:21" x14ac:dyDescent="0.3">
      <c r="A74">
        <v>73</v>
      </c>
      <c r="B74" t="s">
        <v>478</v>
      </c>
      <c r="C74" s="1">
        <v>42754</v>
      </c>
      <c r="D74" s="1">
        <v>42126</v>
      </c>
      <c r="E74" t="s">
        <v>23</v>
      </c>
      <c r="F74" t="s">
        <v>308</v>
      </c>
      <c r="G74" t="s">
        <v>108</v>
      </c>
      <c r="H74" t="s">
        <v>9</v>
      </c>
      <c r="I74" t="s">
        <v>276</v>
      </c>
      <c r="J74" t="s">
        <v>109</v>
      </c>
      <c r="K74" t="s">
        <v>110</v>
      </c>
      <c r="L74">
        <v>38109</v>
      </c>
      <c r="M74" t="s">
        <v>12</v>
      </c>
      <c r="N74" t="s">
        <v>412</v>
      </c>
      <c r="O74" t="s">
        <v>13</v>
      </c>
      <c r="P74" t="s">
        <v>265</v>
      </c>
      <c r="Q74" t="s">
        <v>111</v>
      </c>
      <c r="R74">
        <v>831.93600000000015</v>
      </c>
      <c r="S74">
        <v>8</v>
      </c>
      <c r="T74">
        <v>0.2</v>
      </c>
      <c r="U74">
        <v>-114.39120000000003</v>
      </c>
    </row>
    <row r="75" spans="1:21" x14ac:dyDescent="0.3">
      <c r="A75">
        <v>74</v>
      </c>
      <c r="B75" t="s">
        <v>478</v>
      </c>
      <c r="C75" s="1">
        <v>42755</v>
      </c>
      <c r="D75" s="1">
        <v>42126</v>
      </c>
      <c r="E75" t="s">
        <v>23</v>
      </c>
      <c r="F75" t="s">
        <v>308</v>
      </c>
      <c r="G75" t="s">
        <v>108</v>
      </c>
      <c r="H75" t="s">
        <v>9</v>
      </c>
      <c r="I75" t="s">
        <v>276</v>
      </c>
      <c r="J75" t="s">
        <v>109</v>
      </c>
      <c r="K75" t="s">
        <v>110</v>
      </c>
      <c r="L75">
        <v>38109</v>
      </c>
      <c r="M75" t="s">
        <v>12</v>
      </c>
      <c r="N75" t="s">
        <v>413</v>
      </c>
      <c r="O75" t="s">
        <v>13</v>
      </c>
      <c r="P75" t="s">
        <v>267</v>
      </c>
      <c r="Q75" t="s">
        <v>173</v>
      </c>
      <c r="R75">
        <v>97.04</v>
      </c>
      <c r="S75">
        <v>2</v>
      </c>
      <c r="T75">
        <v>0.2</v>
      </c>
      <c r="U75">
        <v>1.2129999999999974</v>
      </c>
    </row>
    <row r="76" spans="1:21" x14ac:dyDescent="0.3">
      <c r="A76">
        <v>75</v>
      </c>
      <c r="B76" t="s">
        <v>478</v>
      </c>
      <c r="C76" s="1">
        <v>42756</v>
      </c>
      <c r="D76" s="1">
        <v>42126</v>
      </c>
      <c r="E76" t="s">
        <v>23</v>
      </c>
      <c r="F76" t="s">
        <v>308</v>
      </c>
      <c r="G76" t="s">
        <v>108</v>
      </c>
      <c r="H76" t="s">
        <v>9</v>
      </c>
      <c r="I76" t="s">
        <v>276</v>
      </c>
      <c r="J76" t="s">
        <v>109</v>
      </c>
      <c r="K76" t="s">
        <v>110</v>
      </c>
      <c r="L76">
        <v>38109</v>
      </c>
      <c r="M76" t="s">
        <v>12</v>
      </c>
      <c r="N76" t="s">
        <v>414</v>
      </c>
      <c r="O76" t="s">
        <v>21</v>
      </c>
      <c r="P76" t="s">
        <v>266</v>
      </c>
      <c r="Q76" t="s">
        <v>259</v>
      </c>
      <c r="R76">
        <v>72.784000000000006</v>
      </c>
      <c r="S76">
        <v>1</v>
      </c>
      <c r="T76">
        <v>0.2</v>
      </c>
      <c r="U76">
        <v>-18.196000000000002</v>
      </c>
    </row>
    <row r="77" spans="1:21" x14ac:dyDescent="0.3">
      <c r="A77">
        <v>76</v>
      </c>
      <c r="B77" t="s">
        <v>512</v>
      </c>
      <c r="C77" s="1">
        <v>42757</v>
      </c>
      <c r="D77" s="1">
        <v>43080</v>
      </c>
      <c r="E77" t="s">
        <v>66</v>
      </c>
      <c r="F77" t="s">
        <v>309</v>
      </c>
      <c r="G77" t="s">
        <v>112</v>
      </c>
      <c r="H77" t="s">
        <v>17</v>
      </c>
      <c r="I77" t="s">
        <v>276</v>
      </c>
      <c r="J77" t="s">
        <v>65</v>
      </c>
      <c r="K77" t="s">
        <v>41</v>
      </c>
      <c r="L77">
        <v>77041</v>
      </c>
      <c r="M77" t="s">
        <v>42</v>
      </c>
      <c r="N77" t="s">
        <v>415</v>
      </c>
      <c r="O77" t="s">
        <v>21</v>
      </c>
      <c r="P77" t="s">
        <v>270</v>
      </c>
      <c r="Q77" t="s">
        <v>181</v>
      </c>
      <c r="R77">
        <v>1.2479999999999998</v>
      </c>
      <c r="S77">
        <v>3</v>
      </c>
      <c r="T77">
        <v>0.8</v>
      </c>
      <c r="U77">
        <v>-1.9344000000000006</v>
      </c>
    </row>
    <row r="78" spans="1:21" x14ac:dyDescent="0.3">
      <c r="A78">
        <v>77</v>
      </c>
      <c r="B78" t="s">
        <v>512</v>
      </c>
      <c r="C78" s="1">
        <v>42758</v>
      </c>
      <c r="D78" s="1">
        <v>43080</v>
      </c>
      <c r="E78" t="s">
        <v>66</v>
      </c>
      <c r="F78" t="s">
        <v>309</v>
      </c>
      <c r="G78" t="s">
        <v>112</v>
      </c>
      <c r="H78" t="s">
        <v>17</v>
      </c>
      <c r="I78" t="s">
        <v>276</v>
      </c>
      <c r="J78" t="s">
        <v>65</v>
      </c>
      <c r="K78" t="s">
        <v>41</v>
      </c>
      <c r="L78">
        <v>77041</v>
      </c>
      <c r="M78" t="s">
        <v>42</v>
      </c>
      <c r="N78" t="s">
        <v>416</v>
      </c>
      <c r="O78" t="s">
        <v>13</v>
      </c>
      <c r="P78" t="s">
        <v>267</v>
      </c>
      <c r="Q78" t="s">
        <v>191</v>
      </c>
      <c r="R78">
        <v>9.7080000000000002</v>
      </c>
      <c r="S78">
        <v>3</v>
      </c>
      <c r="T78">
        <v>0.6</v>
      </c>
      <c r="U78">
        <v>-5.8248000000000015</v>
      </c>
    </row>
    <row r="79" spans="1:21" x14ac:dyDescent="0.3">
      <c r="A79">
        <v>78</v>
      </c>
      <c r="B79" t="s">
        <v>512</v>
      </c>
      <c r="C79" s="1">
        <v>42759</v>
      </c>
      <c r="D79" s="1">
        <v>43080</v>
      </c>
      <c r="E79" t="s">
        <v>66</v>
      </c>
      <c r="F79" t="s">
        <v>309</v>
      </c>
      <c r="G79" t="s">
        <v>112</v>
      </c>
      <c r="H79" t="s">
        <v>17</v>
      </c>
      <c r="I79" t="s">
        <v>276</v>
      </c>
      <c r="J79" t="s">
        <v>65</v>
      </c>
      <c r="K79" t="s">
        <v>41</v>
      </c>
      <c r="L79">
        <v>77041</v>
      </c>
      <c r="M79" t="s">
        <v>42</v>
      </c>
      <c r="N79" t="s">
        <v>417</v>
      </c>
      <c r="O79" t="s">
        <v>21</v>
      </c>
      <c r="P79" t="s">
        <v>266</v>
      </c>
      <c r="Q79" t="s">
        <v>162</v>
      </c>
      <c r="R79">
        <v>27.240000000000002</v>
      </c>
      <c r="S79">
        <v>3</v>
      </c>
      <c r="T79">
        <v>0.2</v>
      </c>
      <c r="U79">
        <v>2.724000000000002</v>
      </c>
    </row>
    <row r="80" spans="1:21" x14ac:dyDescent="0.3">
      <c r="A80">
        <v>79</v>
      </c>
      <c r="B80" t="s">
        <v>467</v>
      </c>
      <c r="C80" s="1">
        <v>42760</v>
      </c>
      <c r="D80" s="1">
        <v>41974</v>
      </c>
      <c r="E80" t="s">
        <v>7</v>
      </c>
      <c r="F80" t="s">
        <v>308</v>
      </c>
      <c r="G80" t="s">
        <v>108</v>
      </c>
      <c r="H80" t="s">
        <v>9</v>
      </c>
      <c r="I80" t="s">
        <v>276</v>
      </c>
      <c r="J80" t="s">
        <v>65</v>
      </c>
      <c r="K80" t="s">
        <v>41</v>
      </c>
      <c r="L80">
        <v>77070</v>
      </c>
      <c r="M80" t="s">
        <v>42</v>
      </c>
      <c r="N80" t="s">
        <v>418</v>
      </c>
      <c r="O80" t="s">
        <v>13</v>
      </c>
      <c r="P80" t="s">
        <v>267</v>
      </c>
      <c r="Q80" t="s">
        <v>235</v>
      </c>
      <c r="R80">
        <v>19.3</v>
      </c>
      <c r="S80">
        <v>5</v>
      </c>
      <c r="T80">
        <v>0.6</v>
      </c>
      <c r="U80">
        <v>-14.475000000000001</v>
      </c>
    </row>
    <row r="81" spans="1:21" x14ac:dyDescent="0.3">
      <c r="A81">
        <v>80</v>
      </c>
      <c r="B81" t="s">
        <v>498</v>
      </c>
      <c r="C81" s="1">
        <v>42761</v>
      </c>
      <c r="D81" s="1">
        <v>42536</v>
      </c>
      <c r="E81" t="s">
        <v>66</v>
      </c>
      <c r="F81" t="s">
        <v>310</v>
      </c>
      <c r="G81" t="s">
        <v>113</v>
      </c>
      <c r="H81" t="s">
        <v>17</v>
      </c>
      <c r="I81" t="s">
        <v>276</v>
      </c>
      <c r="J81" t="s">
        <v>114</v>
      </c>
      <c r="K81" t="s">
        <v>115</v>
      </c>
      <c r="L81">
        <v>35601</v>
      </c>
      <c r="M81" t="s">
        <v>12</v>
      </c>
      <c r="N81" t="s">
        <v>419</v>
      </c>
      <c r="O81" t="s">
        <v>21</v>
      </c>
      <c r="P81" t="s">
        <v>30</v>
      </c>
      <c r="Q81" t="s">
        <v>160</v>
      </c>
      <c r="R81">
        <v>208.16</v>
      </c>
      <c r="S81">
        <v>1</v>
      </c>
      <c r="T81">
        <v>0</v>
      </c>
      <c r="U81">
        <v>56.20320000000001</v>
      </c>
    </row>
    <row r="82" spans="1:21" x14ac:dyDescent="0.3">
      <c r="A82">
        <v>81</v>
      </c>
      <c r="B82" t="s">
        <v>498</v>
      </c>
      <c r="C82" s="1">
        <v>42762</v>
      </c>
      <c r="D82" s="1">
        <v>42536</v>
      </c>
      <c r="E82" t="s">
        <v>66</v>
      </c>
      <c r="F82" t="s">
        <v>310</v>
      </c>
      <c r="G82" t="s">
        <v>113</v>
      </c>
      <c r="H82" t="s">
        <v>17</v>
      </c>
      <c r="I82" t="s">
        <v>276</v>
      </c>
      <c r="J82" t="s">
        <v>114</v>
      </c>
      <c r="K82" t="s">
        <v>115</v>
      </c>
      <c r="L82">
        <v>35601</v>
      </c>
      <c r="M82" t="s">
        <v>12</v>
      </c>
      <c r="N82" t="s">
        <v>420</v>
      </c>
      <c r="O82" t="s">
        <v>21</v>
      </c>
      <c r="P82" t="s">
        <v>270</v>
      </c>
      <c r="Q82" t="s">
        <v>211</v>
      </c>
      <c r="R82">
        <v>16.740000000000002</v>
      </c>
      <c r="S82">
        <v>3</v>
      </c>
      <c r="T82">
        <v>0</v>
      </c>
      <c r="U82">
        <v>8.0351999999999997</v>
      </c>
    </row>
    <row r="83" spans="1:21" x14ac:dyDescent="0.3">
      <c r="A83">
        <v>82</v>
      </c>
      <c r="B83" t="s">
        <v>468</v>
      </c>
      <c r="C83" s="1">
        <v>42763</v>
      </c>
      <c r="D83" s="1">
        <v>41928</v>
      </c>
      <c r="E83" t="s">
        <v>23</v>
      </c>
      <c r="F83" t="s">
        <v>311</v>
      </c>
      <c r="G83" t="s">
        <v>116</v>
      </c>
      <c r="H83" t="s">
        <v>9</v>
      </c>
      <c r="I83" t="s">
        <v>276</v>
      </c>
      <c r="J83" t="s">
        <v>51</v>
      </c>
      <c r="K83" t="s">
        <v>19</v>
      </c>
      <c r="L83">
        <v>94122</v>
      </c>
      <c r="M83" t="s">
        <v>20</v>
      </c>
      <c r="N83" t="s">
        <v>421</v>
      </c>
      <c r="O83" t="s">
        <v>21</v>
      </c>
      <c r="P83" t="s">
        <v>268</v>
      </c>
      <c r="Q83" t="s">
        <v>197</v>
      </c>
      <c r="R83">
        <v>14.9</v>
      </c>
      <c r="S83">
        <v>5</v>
      </c>
      <c r="T83">
        <v>0</v>
      </c>
      <c r="U83">
        <v>4.1720000000000006</v>
      </c>
    </row>
    <row r="84" spans="1:21" x14ac:dyDescent="0.3">
      <c r="A84">
        <v>83</v>
      </c>
      <c r="B84" t="s">
        <v>468</v>
      </c>
      <c r="C84" s="1">
        <v>42764</v>
      </c>
      <c r="D84" s="1">
        <v>41928</v>
      </c>
      <c r="E84" t="s">
        <v>23</v>
      </c>
      <c r="F84" t="s">
        <v>311</v>
      </c>
      <c r="G84" t="s">
        <v>116</v>
      </c>
      <c r="H84" t="s">
        <v>9</v>
      </c>
      <c r="I84" t="s">
        <v>276</v>
      </c>
      <c r="J84" t="s">
        <v>51</v>
      </c>
      <c r="K84" t="s">
        <v>19</v>
      </c>
      <c r="L84">
        <v>94122</v>
      </c>
      <c r="M84" t="s">
        <v>20</v>
      </c>
      <c r="N84" t="s">
        <v>422</v>
      </c>
      <c r="O84" t="s">
        <v>21</v>
      </c>
      <c r="P84" t="s">
        <v>266</v>
      </c>
      <c r="Q84" t="s">
        <v>159</v>
      </c>
      <c r="R84">
        <v>21.39</v>
      </c>
      <c r="S84">
        <v>1</v>
      </c>
      <c r="T84">
        <v>0</v>
      </c>
      <c r="U84">
        <v>6.2030999999999992</v>
      </c>
    </row>
    <row r="85" spans="1:21" x14ac:dyDescent="0.3">
      <c r="A85">
        <v>84</v>
      </c>
      <c r="B85" t="s">
        <v>479</v>
      </c>
      <c r="C85" s="1">
        <v>42765</v>
      </c>
      <c r="D85" s="1">
        <v>42255</v>
      </c>
      <c r="E85" t="s">
        <v>23</v>
      </c>
      <c r="F85" t="s">
        <v>312</v>
      </c>
      <c r="G85" t="s">
        <v>117</v>
      </c>
      <c r="H85" t="s">
        <v>17</v>
      </c>
      <c r="I85" t="s">
        <v>276</v>
      </c>
      <c r="J85" t="s">
        <v>118</v>
      </c>
      <c r="K85" t="s">
        <v>33</v>
      </c>
      <c r="L85">
        <v>27707</v>
      </c>
      <c r="M85" t="s">
        <v>12</v>
      </c>
      <c r="N85" t="s">
        <v>423</v>
      </c>
      <c r="O85" t="s">
        <v>21</v>
      </c>
      <c r="P85" t="s">
        <v>70</v>
      </c>
      <c r="Q85" t="s">
        <v>246</v>
      </c>
      <c r="R85">
        <v>200.98400000000004</v>
      </c>
      <c r="S85">
        <v>7</v>
      </c>
      <c r="T85">
        <v>0.2</v>
      </c>
      <c r="U85">
        <v>62.807499999999976</v>
      </c>
    </row>
    <row r="86" spans="1:21" x14ac:dyDescent="0.3">
      <c r="A86">
        <v>85</v>
      </c>
      <c r="B86" t="s">
        <v>513</v>
      </c>
      <c r="C86" s="1">
        <v>42766</v>
      </c>
      <c r="D86" s="1">
        <v>43055</v>
      </c>
      <c r="E86" t="s">
        <v>66</v>
      </c>
      <c r="F86" t="s">
        <v>313</v>
      </c>
      <c r="G86" t="s">
        <v>120</v>
      </c>
      <c r="H86" t="s">
        <v>39</v>
      </c>
      <c r="I86" t="s">
        <v>276</v>
      </c>
      <c r="J86" t="s">
        <v>98</v>
      </c>
      <c r="K86" t="s">
        <v>74</v>
      </c>
      <c r="L86">
        <v>60623</v>
      </c>
      <c r="M86" t="s">
        <v>42</v>
      </c>
      <c r="N86" t="s">
        <v>424</v>
      </c>
      <c r="O86" t="s">
        <v>21</v>
      </c>
      <c r="P86" t="s">
        <v>266</v>
      </c>
      <c r="Q86" t="s">
        <v>172</v>
      </c>
      <c r="R86">
        <v>230.376</v>
      </c>
      <c r="S86">
        <v>3</v>
      </c>
      <c r="T86">
        <v>0.2</v>
      </c>
      <c r="U86">
        <v>-48.954900000000002</v>
      </c>
    </row>
    <row r="87" spans="1:21" x14ac:dyDescent="0.3">
      <c r="A87">
        <v>86</v>
      </c>
      <c r="B87" t="s">
        <v>514</v>
      </c>
      <c r="C87" s="1">
        <v>42767</v>
      </c>
      <c r="D87" s="1">
        <v>42885</v>
      </c>
      <c r="E87" t="s">
        <v>7</v>
      </c>
      <c r="F87" t="s">
        <v>298</v>
      </c>
      <c r="G87" t="s">
        <v>81</v>
      </c>
      <c r="H87" t="s">
        <v>9</v>
      </c>
      <c r="I87" t="s">
        <v>276</v>
      </c>
      <c r="J87" t="s">
        <v>121</v>
      </c>
      <c r="K87" t="s">
        <v>122</v>
      </c>
      <c r="L87">
        <v>29203</v>
      </c>
      <c r="M87" t="s">
        <v>12</v>
      </c>
      <c r="N87" t="s">
        <v>425</v>
      </c>
      <c r="O87" t="s">
        <v>13</v>
      </c>
      <c r="P87" t="s">
        <v>265</v>
      </c>
      <c r="Q87" t="s">
        <v>95</v>
      </c>
      <c r="R87">
        <v>301.95999999999998</v>
      </c>
      <c r="S87">
        <v>2</v>
      </c>
      <c r="T87">
        <v>0</v>
      </c>
      <c r="U87">
        <v>33.215599999999995</v>
      </c>
    </row>
    <row r="88" spans="1:21" x14ac:dyDescent="0.3">
      <c r="A88">
        <v>87</v>
      </c>
      <c r="B88" t="s">
        <v>515</v>
      </c>
      <c r="C88" s="1">
        <v>42768</v>
      </c>
      <c r="D88" s="1">
        <v>43041</v>
      </c>
      <c r="E88" t="s">
        <v>23</v>
      </c>
      <c r="F88" t="s">
        <v>314</v>
      </c>
      <c r="G88" t="s">
        <v>123</v>
      </c>
      <c r="H88" t="s">
        <v>9</v>
      </c>
      <c r="I88" t="s">
        <v>276</v>
      </c>
      <c r="J88" t="s">
        <v>124</v>
      </c>
      <c r="K88" t="s">
        <v>80</v>
      </c>
      <c r="L88">
        <v>55901</v>
      </c>
      <c r="M88" t="s">
        <v>42</v>
      </c>
      <c r="N88" t="s">
        <v>426</v>
      </c>
      <c r="O88" t="s">
        <v>29</v>
      </c>
      <c r="P88" t="s">
        <v>271</v>
      </c>
      <c r="Q88" t="s">
        <v>230</v>
      </c>
      <c r="R88">
        <v>19.989999999999998</v>
      </c>
      <c r="S88">
        <v>1</v>
      </c>
      <c r="T88">
        <v>0</v>
      </c>
      <c r="U88">
        <v>6.796599999999998</v>
      </c>
    </row>
    <row r="89" spans="1:21" x14ac:dyDescent="0.3">
      <c r="A89">
        <v>88</v>
      </c>
      <c r="B89" t="s">
        <v>515</v>
      </c>
      <c r="C89" s="1">
        <v>42769</v>
      </c>
      <c r="D89" s="1">
        <v>43041</v>
      </c>
      <c r="E89" t="s">
        <v>23</v>
      </c>
      <c r="F89" t="s">
        <v>314</v>
      </c>
      <c r="G89" t="s">
        <v>123</v>
      </c>
      <c r="H89" t="s">
        <v>9</v>
      </c>
      <c r="I89" t="s">
        <v>276</v>
      </c>
      <c r="J89" t="s">
        <v>124</v>
      </c>
      <c r="K89" t="s">
        <v>80</v>
      </c>
      <c r="L89">
        <v>55901</v>
      </c>
      <c r="M89" t="s">
        <v>42</v>
      </c>
      <c r="N89" t="s">
        <v>427</v>
      </c>
      <c r="O89" t="s">
        <v>21</v>
      </c>
      <c r="P89" t="s">
        <v>22</v>
      </c>
      <c r="Q89" t="s">
        <v>262</v>
      </c>
      <c r="R89">
        <v>6.16</v>
      </c>
      <c r="S89">
        <v>2</v>
      </c>
      <c r="T89">
        <v>0</v>
      </c>
      <c r="U89">
        <v>2.9567999999999999</v>
      </c>
    </row>
    <row r="90" spans="1:21" x14ac:dyDescent="0.3">
      <c r="A90">
        <v>89</v>
      </c>
      <c r="B90" t="s">
        <v>499</v>
      </c>
      <c r="C90" s="1">
        <v>42770</v>
      </c>
      <c r="D90" s="1">
        <v>42470</v>
      </c>
      <c r="E90" t="s">
        <v>7</v>
      </c>
      <c r="F90" t="s">
        <v>315</v>
      </c>
      <c r="G90" t="s">
        <v>125</v>
      </c>
      <c r="H90" t="s">
        <v>39</v>
      </c>
      <c r="I90" t="s">
        <v>276</v>
      </c>
      <c r="J90" t="s">
        <v>65</v>
      </c>
      <c r="K90" t="s">
        <v>41</v>
      </c>
      <c r="L90">
        <v>77095</v>
      </c>
      <c r="M90" t="s">
        <v>42</v>
      </c>
      <c r="N90" t="s">
        <v>428</v>
      </c>
      <c r="O90" t="s">
        <v>21</v>
      </c>
      <c r="P90" t="s">
        <v>266</v>
      </c>
      <c r="Q90" t="s">
        <v>184</v>
      </c>
      <c r="R90">
        <v>158.36800000000002</v>
      </c>
      <c r="S90">
        <v>7</v>
      </c>
      <c r="T90">
        <v>0.2</v>
      </c>
      <c r="U90">
        <v>13.857199999999999</v>
      </c>
    </row>
    <row r="91" spans="1:21" x14ac:dyDescent="0.3">
      <c r="A91">
        <v>90</v>
      </c>
      <c r="B91" t="s">
        <v>500</v>
      </c>
      <c r="C91" s="1">
        <v>42771</v>
      </c>
      <c r="D91" s="1">
        <v>42635</v>
      </c>
      <c r="E91" t="s">
        <v>23</v>
      </c>
      <c r="F91" t="s">
        <v>316</v>
      </c>
      <c r="G91" t="s">
        <v>126</v>
      </c>
      <c r="H91" t="s">
        <v>17</v>
      </c>
      <c r="I91" t="s">
        <v>276</v>
      </c>
      <c r="J91" t="s">
        <v>18</v>
      </c>
      <c r="K91" t="s">
        <v>19</v>
      </c>
      <c r="L91">
        <v>90036</v>
      </c>
      <c r="M91" t="s">
        <v>20</v>
      </c>
      <c r="N91" t="s">
        <v>429</v>
      </c>
      <c r="O91" t="s">
        <v>21</v>
      </c>
      <c r="P91" t="s">
        <v>268</v>
      </c>
      <c r="Q91" t="s">
        <v>186</v>
      </c>
      <c r="R91">
        <v>20.100000000000001</v>
      </c>
      <c r="S91">
        <v>3</v>
      </c>
      <c r="T91">
        <v>0</v>
      </c>
      <c r="U91">
        <v>6.6329999999999982</v>
      </c>
    </row>
    <row r="92" spans="1:21" x14ac:dyDescent="0.3">
      <c r="A92">
        <v>91</v>
      </c>
      <c r="B92" t="s">
        <v>500</v>
      </c>
      <c r="C92" s="1">
        <v>42772</v>
      </c>
      <c r="D92" s="1">
        <v>42635</v>
      </c>
      <c r="E92" t="s">
        <v>23</v>
      </c>
      <c r="F92" t="s">
        <v>316</v>
      </c>
      <c r="G92" t="s">
        <v>126</v>
      </c>
      <c r="H92" t="s">
        <v>17</v>
      </c>
      <c r="I92" t="s">
        <v>276</v>
      </c>
      <c r="J92" t="s">
        <v>18</v>
      </c>
      <c r="K92" t="s">
        <v>19</v>
      </c>
      <c r="L92">
        <v>90036</v>
      </c>
      <c r="M92" t="s">
        <v>20</v>
      </c>
      <c r="N92" t="s">
        <v>382</v>
      </c>
      <c r="O92" t="s">
        <v>29</v>
      </c>
      <c r="P92" t="s">
        <v>269</v>
      </c>
      <c r="Q92" t="s">
        <v>183</v>
      </c>
      <c r="R92">
        <v>73.584000000000003</v>
      </c>
      <c r="S92">
        <v>2</v>
      </c>
      <c r="T92">
        <v>0.2</v>
      </c>
      <c r="U92">
        <v>8.2781999999999982</v>
      </c>
    </row>
    <row r="93" spans="1:21" x14ac:dyDescent="0.3">
      <c r="A93">
        <v>92</v>
      </c>
      <c r="B93" t="s">
        <v>500</v>
      </c>
      <c r="C93" s="1">
        <v>42773</v>
      </c>
      <c r="D93" s="1">
        <v>42635</v>
      </c>
      <c r="E93" t="s">
        <v>23</v>
      </c>
      <c r="F93" t="s">
        <v>316</v>
      </c>
      <c r="G93" t="s">
        <v>126</v>
      </c>
      <c r="H93" t="s">
        <v>17</v>
      </c>
      <c r="I93" t="s">
        <v>276</v>
      </c>
      <c r="J93" t="s">
        <v>18</v>
      </c>
      <c r="K93" t="s">
        <v>19</v>
      </c>
      <c r="L93">
        <v>90036</v>
      </c>
      <c r="M93" t="s">
        <v>20</v>
      </c>
      <c r="N93" t="s">
        <v>430</v>
      </c>
      <c r="O93" t="s">
        <v>21</v>
      </c>
      <c r="P93" t="s">
        <v>34</v>
      </c>
      <c r="Q93" t="s">
        <v>249</v>
      </c>
      <c r="R93">
        <v>6.48</v>
      </c>
      <c r="S93">
        <v>1</v>
      </c>
      <c r="T93">
        <v>0</v>
      </c>
      <c r="U93">
        <v>3.1104000000000003</v>
      </c>
    </row>
    <row r="94" spans="1:21" x14ac:dyDescent="0.3">
      <c r="A94">
        <v>93</v>
      </c>
      <c r="B94" t="s">
        <v>480</v>
      </c>
      <c r="C94" s="1">
        <v>42774</v>
      </c>
      <c r="D94" s="1">
        <v>42040</v>
      </c>
      <c r="E94" t="s">
        <v>7</v>
      </c>
      <c r="F94" t="s">
        <v>317</v>
      </c>
      <c r="G94" t="s">
        <v>127</v>
      </c>
      <c r="H94" t="s">
        <v>9</v>
      </c>
      <c r="I94" t="s">
        <v>276</v>
      </c>
      <c r="J94" t="s">
        <v>128</v>
      </c>
      <c r="K94" t="s">
        <v>80</v>
      </c>
      <c r="L94">
        <v>55407</v>
      </c>
      <c r="M94" t="s">
        <v>42</v>
      </c>
      <c r="N94" t="s">
        <v>431</v>
      </c>
      <c r="O94" t="s">
        <v>21</v>
      </c>
      <c r="P94" t="s">
        <v>34</v>
      </c>
      <c r="Q94" t="s">
        <v>260</v>
      </c>
      <c r="R94">
        <v>12.96</v>
      </c>
      <c r="S94">
        <v>2</v>
      </c>
      <c r="T94">
        <v>0</v>
      </c>
      <c r="U94">
        <v>6.2208000000000006</v>
      </c>
    </row>
    <row r="95" spans="1:21" x14ac:dyDescent="0.3">
      <c r="A95">
        <v>94</v>
      </c>
      <c r="B95" t="s">
        <v>480</v>
      </c>
      <c r="C95" s="1">
        <v>42775</v>
      </c>
      <c r="D95" s="1">
        <v>42040</v>
      </c>
      <c r="E95" t="s">
        <v>7</v>
      </c>
      <c r="F95" t="s">
        <v>317</v>
      </c>
      <c r="G95" t="s">
        <v>127</v>
      </c>
      <c r="H95" t="s">
        <v>9</v>
      </c>
      <c r="I95" t="s">
        <v>276</v>
      </c>
      <c r="J95" t="s">
        <v>128</v>
      </c>
      <c r="K95" t="s">
        <v>80</v>
      </c>
      <c r="L95">
        <v>55407</v>
      </c>
      <c r="M95" t="s">
        <v>42</v>
      </c>
      <c r="N95" t="s">
        <v>432</v>
      </c>
      <c r="O95" t="s">
        <v>13</v>
      </c>
      <c r="P95" t="s">
        <v>267</v>
      </c>
      <c r="Q95" t="s">
        <v>161</v>
      </c>
      <c r="R95">
        <v>53.34</v>
      </c>
      <c r="S95">
        <v>3</v>
      </c>
      <c r="T95">
        <v>0</v>
      </c>
      <c r="U95">
        <v>16.535399999999996</v>
      </c>
    </row>
    <row r="96" spans="1:21" x14ac:dyDescent="0.3">
      <c r="A96">
        <v>95</v>
      </c>
      <c r="B96" t="s">
        <v>480</v>
      </c>
      <c r="C96" s="1">
        <v>42776</v>
      </c>
      <c r="D96" s="1">
        <v>42040</v>
      </c>
      <c r="E96" t="s">
        <v>7</v>
      </c>
      <c r="F96" t="s">
        <v>317</v>
      </c>
      <c r="G96" t="s">
        <v>127</v>
      </c>
      <c r="H96" t="s">
        <v>9</v>
      </c>
      <c r="I96" t="s">
        <v>276</v>
      </c>
      <c r="J96" t="s">
        <v>128</v>
      </c>
      <c r="K96" t="s">
        <v>80</v>
      </c>
      <c r="L96">
        <v>55407</v>
      </c>
      <c r="M96" t="s">
        <v>42</v>
      </c>
      <c r="N96" t="s">
        <v>433</v>
      </c>
      <c r="O96" t="s">
        <v>21</v>
      </c>
      <c r="P96" t="s">
        <v>270</v>
      </c>
      <c r="Q96" t="s">
        <v>188</v>
      </c>
      <c r="R96">
        <v>32.96</v>
      </c>
      <c r="S96">
        <v>2</v>
      </c>
      <c r="T96">
        <v>0</v>
      </c>
      <c r="U96">
        <v>16.150400000000001</v>
      </c>
    </row>
    <row r="97" spans="1:21" x14ac:dyDescent="0.3">
      <c r="A97">
        <v>96</v>
      </c>
      <c r="B97" t="s">
        <v>516</v>
      </c>
      <c r="C97" s="1">
        <v>42777</v>
      </c>
      <c r="D97" s="1">
        <v>43051</v>
      </c>
      <c r="E97" t="s">
        <v>23</v>
      </c>
      <c r="F97" t="s">
        <v>318</v>
      </c>
      <c r="G97" t="s">
        <v>129</v>
      </c>
      <c r="H97" t="s">
        <v>39</v>
      </c>
      <c r="I97" t="s">
        <v>276</v>
      </c>
      <c r="J97" t="s">
        <v>130</v>
      </c>
      <c r="K97" t="s">
        <v>131</v>
      </c>
      <c r="L97">
        <v>97206</v>
      </c>
      <c r="M97" t="s">
        <v>20</v>
      </c>
      <c r="N97" t="s">
        <v>434</v>
      </c>
      <c r="O97" t="s">
        <v>21</v>
      </c>
      <c r="P97" t="s">
        <v>270</v>
      </c>
      <c r="Q97" t="s">
        <v>180</v>
      </c>
      <c r="R97">
        <v>5.6820000000000013</v>
      </c>
      <c r="S97">
        <v>1</v>
      </c>
      <c r="T97">
        <v>0.7</v>
      </c>
      <c r="U97">
        <v>-3.7880000000000003</v>
      </c>
    </row>
    <row r="98" spans="1:21" x14ac:dyDescent="0.3">
      <c r="A98">
        <v>97</v>
      </c>
      <c r="B98" t="s">
        <v>517</v>
      </c>
      <c r="C98" s="1">
        <v>42778</v>
      </c>
      <c r="D98" s="1">
        <v>43050</v>
      </c>
      <c r="E98" t="s">
        <v>7</v>
      </c>
      <c r="F98" t="s">
        <v>319</v>
      </c>
      <c r="G98" t="s">
        <v>132</v>
      </c>
      <c r="H98" t="s">
        <v>39</v>
      </c>
      <c r="I98" t="s">
        <v>276</v>
      </c>
      <c r="J98" t="s">
        <v>91</v>
      </c>
      <c r="K98" t="s">
        <v>92</v>
      </c>
      <c r="L98">
        <v>10009</v>
      </c>
      <c r="M98" t="s">
        <v>58</v>
      </c>
      <c r="N98" t="s">
        <v>435</v>
      </c>
      <c r="O98" t="s">
        <v>13</v>
      </c>
      <c r="P98" t="s">
        <v>267</v>
      </c>
      <c r="Q98" t="s">
        <v>215</v>
      </c>
      <c r="R98">
        <v>96.53</v>
      </c>
      <c r="S98">
        <v>7</v>
      </c>
      <c r="T98">
        <v>0</v>
      </c>
      <c r="U98">
        <v>40.5426</v>
      </c>
    </row>
    <row r="99" spans="1:21" x14ac:dyDescent="0.3">
      <c r="A99">
        <v>98</v>
      </c>
      <c r="B99" t="s">
        <v>518</v>
      </c>
      <c r="C99" s="1">
        <v>42779</v>
      </c>
      <c r="D99" s="1">
        <v>42906</v>
      </c>
      <c r="E99" t="s">
        <v>66</v>
      </c>
      <c r="F99" t="s">
        <v>320</v>
      </c>
      <c r="G99" t="s">
        <v>133</v>
      </c>
      <c r="H99" t="s">
        <v>9</v>
      </c>
      <c r="I99" t="s">
        <v>276</v>
      </c>
      <c r="J99" t="s">
        <v>51</v>
      </c>
      <c r="K99" t="s">
        <v>19</v>
      </c>
      <c r="L99">
        <v>94122</v>
      </c>
      <c r="M99" t="s">
        <v>20</v>
      </c>
      <c r="N99" t="s">
        <v>436</v>
      </c>
      <c r="O99" t="s">
        <v>21</v>
      </c>
      <c r="P99" t="s">
        <v>270</v>
      </c>
      <c r="Q99" t="s">
        <v>177</v>
      </c>
      <c r="R99">
        <v>51.311999999999998</v>
      </c>
      <c r="S99">
        <v>3</v>
      </c>
      <c r="T99">
        <v>0.2</v>
      </c>
      <c r="U99">
        <v>17.959199999999999</v>
      </c>
    </row>
    <row r="100" spans="1:21" x14ac:dyDescent="0.3">
      <c r="A100">
        <v>99</v>
      </c>
      <c r="B100" t="s">
        <v>501</v>
      </c>
      <c r="C100" s="1">
        <v>42780</v>
      </c>
      <c r="D100" s="1">
        <v>42624</v>
      </c>
      <c r="E100" t="s">
        <v>23</v>
      </c>
      <c r="F100" t="s">
        <v>321</v>
      </c>
      <c r="G100" t="s">
        <v>134</v>
      </c>
      <c r="H100" t="s">
        <v>17</v>
      </c>
      <c r="I100" t="s">
        <v>276</v>
      </c>
      <c r="J100" t="s">
        <v>135</v>
      </c>
      <c r="K100" t="s">
        <v>80</v>
      </c>
      <c r="L100">
        <v>55106</v>
      </c>
      <c r="M100" t="s">
        <v>42</v>
      </c>
      <c r="N100" t="s">
        <v>437</v>
      </c>
      <c r="O100" t="s">
        <v>21</v>
      </c>
      <c r="P100" t="s">
        <v>30</v>
      </c>
      <c r="Q100" t="s">
        <v>202</v>
      </c>
      <c r="R100">
        <v>77.88</v>
      </c>
      <c r="S100">
        <v>6</v>
      </c>
      <c r="T100">
        <v>0</v>
      </c>
      <c r="U100">
        <v>22.585199999999993</v>
      </c>
    </row>
    <row r="101" spans="1:21" x14ac:dyDescent="0.3">
      <c r="A101">
        <v>100</v>
      </c>
      <c r="B101" t="s">
        <v>502</v>
      </c>
      <c r="C101" s="1">
        <v>42781</v>
      </c>
      <c r="D101" s="1">
        <v>42615</v>
      </c>
      <c r="E101" t="s">
        <v>23</v>
      </c>
      <c r="F101" t="s">
        <v>322</v>
      </c>
      <c r="G101" t="s">
        <v>136</v>
      </c>
      <c r="H101" t="s">
        <v>39</v>
      </c>
      <c r="I101" t="s">
        <v>276</v>
      </c>
      <c r="J101" t="s">
        <v>98</v>
      </c>
      <c r="K101" t="s">
        <v>74</v>
      </c>
      <c r="L101">
        <v>60610</v>
      </c>
      <c r="M101" t="s">
        <v>42</v>
      </c>
      <c r="N101" t="s">
        <v>438</v>
      </c>
      <c r="O101" t="s">
        <v>21</v>
      </c>
      <c r="P101" t="s">
        <v>34</v>
      </c>
      <c r="Q101" t="s">
        <v>192</v>
      </c>
      <c r="R101">
        <v>64.623999999999995</v>
      </c>
      <c r="S101">
        <v>7</v>
      </c>
      <c r="T101">
        <v>0.2</v>
      </c>
      <c r="U101">
        <v>22.618399999999994</v>
      </c>
    </row>
    <row r="102" spans="1:21" x14ac:dyDescent="0.3">
      <c r="A102">
        <v>101</v>
      </c>
      <c r="B102" t="s">
        <v>502</v>
      </c>
      <c r="C102" s="1">
        <v>42782</v>
      </c>
      <c r="D102" s="1">
        <v>42615</v>
      </c>
      <c r="E102" t="s">
        <v>23</v>
      </c>
      <c r="F102" t="s">
        <v>322</v>
      </c>
      <c r="G102" t="s">
        <v>136</v>
      </c>
      <c r="H102" t="s">
        <v>39</v>
      </c>
      <c r="I102" t="s">
        <v>276</v>
      </c>
      <c r="J102" t="s">
        <v>98</v>
      </c>
      <c r="K102" t="s">
        <v>74</v>
      </c>
      <c r="L102">
        <v>60610</v>
      </c>
      <c r="M102" t="s">
        <v>42</v>
      </c>
      <c r="N102" t="s">
        <v>439</v>
      </c>
      <c r="O102" t="s">
        <v>29</v>
      </c>
      <c r="P102" t="s">
        <v>271</v>
      </c>
      <c r="Q102" t="s">
        <v>182</v>
      </c>
      <c r="R102">
        <v>95.976000000000013</v>
      </c>
      <c r="S102">
        <v>3</v>
      </c>
      <c r="T102">
        <v>0.2</v>
      </c>
      <c r="U102">
        <v>-10.797300000000011</v>
      </c>
    </row>
    <row r="103" spans="1:21" x14ac:dyDescent="0.3">
      <c r="A103">
        <v>102</v>
      </c>
      <c r="B103" t="s">
        <v>502</v>
      </c>
      <c r="C103" s="1">
        <v>42783</v>
      </c>
      <c r="D103" s="1">
        <v>42615</v>
      </c>
      <c r="E103" t="s">
        <v>23</v>
      </c>
      <c r="F103" t="s">
        <v>322</v>
      </c>
      <c r="G103" t="s">
        <v>136</v>
      </c>
      <c r="H103" t="s">
        <v>39</v>
      </c>
      <c r="I103" t="s">
        <v>276</v>
      </c>
      <c r="J103" t="s">
        <v>98</v>
      </c>
      <c r="K103" t="s">
        <v>74</v>
      </c>
      <c r="L103">
        <v>60610</v>
      </c>
      <c r="M103" t="s">
        <v>42</v>
      </c>
      <c r="N103" t="s">
        <v>440</v>
      </c>
      <c r="O103" t="s">
        <v>21</v>
      </c>
      <c r="P103" t="s">
        <v>270</v>
      </c>
      <c r="Q103" t="s">
        <v>222</v>
      </c>
      <c r="R103">
        <v>1.7879999999999996</v>
      </c>
      <c r="S103">
        <v>3</v>
      </c>
      <c r="T103">
        <v>0.8</v>
      </c>
      <c r="U103">
        <v>-3.0396000000000001</v>
      </c>
    </row>
    <row r="104" spans="1:21" x14ac:dyDescent="0.3">
      <c r="A104">
        <v>103</v>
      </c>
      <c r="B104" t="s">
        <v>503</v>
      </c>
      <c r="C104" s="1">
        <v>42784</v>
      </c>
      <c r="D104" s="1">
        <v>42708</v>
      </c>
      <c r="E104" t="s">
        <v>7</v>
      </c>
      <c r="F104" t="s">
        <v>323</v>
      </c>
      <c r="G104" t="s">
        <v>138</v>
      </c>
      <c r="H104" t="s">
        <v>9</v>
      </c>
      <c r="I104" t="s">
        <v>276</v>
      </c>
      <c r="J104" t="s">
        <v>124</v>
      </c>
      <c r="K104" t="s">
        <v>80</v>
      </c>
      <c r="L104">
        <v>55901</v>
      </c>
      <c r="M104" t="s">
        <v>42</v>
      </c>
      <c r="N104" t="s">
        <v>441</v>
      </c>
      <c r="O104" t="s">
        <v>21</v>
      </c>
      <c r="P104" t="s">
        <v>34</v>
      </c>
      <c r="Q104" t="s">
        <v>257</v>
      </c>
      <c r="R104">
        <v>23.92</v>
      </c>
      <c r="S104">
        <v>4</v>
      </c>
      <c r="T104">
        <v>0</v>
      </c>
      <c r="U104">
        <v>11.720800000000001</v>
      </c>
    </row>
    <row r="105" spans="1:21" x14ac:dyDescent="0.3">
      <c r="A105">
        <v>104</v>
      </c>
      <c r="B105" t="s">
        <v>481</v>
      </c>
      <c r="C105" s="1">
        <v>42785</v>
      </c>
      <c r="D105" s="1">
        <v>42325</v>
      </c>
      <c r="E105" t="s">
        <v>23</v>
      </c>
      <c r="F105" t="s">
        <v>324</v>
      </c>
      <c r="G105" t="s">
        <v>139</v>
      </c>
      <c r="H105" t="s">
        <v>9</v>
      </c>
      <c r="I105" t="s">
        <v>276</v>
      </c>
      <c r="J105" t="s">
        <v>140</v>
      </c>
      <c r="K105" t="s">
        <v>141</v>
      </c>
      <c r="L105">
        <v>80013</v>
      </c>
      <c r="M105" t="s">
        <v>20</v>
      </c>
      <c r="N105" t="s">
        <v>442</v>
      </c>
      <c r="O105" t="s">
        <v>29</v>
      </c>
      <c r="P105" t="s">
        <v>271</v>
      </c>
      <c r="Q105" t="s">
        <v>221</v>
      </c>
      <c r="R105">
        <v>238.89600000000002</v>
      </c>
      <c r="S105">
        <v>6</v>
      </c>
      <c r="T105">
        <v>0.2</v>
      </c>
      <c r="U105">
        <v>-26.875800000000012</v>
      </c>
    </row>
    <row r="106" spans="1:21" x14ac:dyDescent="0.3">
      <c r="A106">
        <v>105</v>
      </c>
      <c r="B106" t="s">
        <v>481</v>
      </c>
      <c r="C106" s="1">
        <v>42786</v>
      </c>
      <c r="D106" s="1">
        <v>42325</v>
      </c>
      <c r="E106" t="s">
        <v>23</v>
      </c>
      <c r="F106" t="s">
        <v>324</v>
      </c>
      <c r="G106" t="s">
        <v>139</v>
      </c>
      <c r="H106" t="s">
        <v>9</v>
      </c>
      <c r="I106" t="s">
        <v>276</v>
      </c>
      <c r="J106" t="s">
        <v>140</v>
      </c>
      <c r="K106" t="s">
        <v>141</v>
      </c>
      <c r="L106">
        <v>80013</v>
      </c>
      <c r="M106" t="s">
        <v>20</v>
      </c>
      <c r="N106" t="s">
        <v>443</v>
      </c>
      <c r="O106" t="s">
        <v>13</v>
      </c>
      <c r="P106" t="s">
        <v>267</v>
      </c>
      <c r="Q106" t="s">
        <v>238</v>
      </c>
      <c r="R106">
        <v>102.35999999999999</v>
      </c>
      <c r="S106">
        <v>3</v>
      </c>
      <c r="T106">
        <v>0.2</v>
      </c>
      <c r="U106">
        <v>-3.8385000000000105</v>
      </c>
    </row>
    <row r="107" spans="1:21" x14ac:dyDescent="0.3">
      <c r="A107">
        <v>106</v>
      </c>
      <c r="B107" t="s">
        <v>481</v>
      </c>
      <c r="C107" s="1">
        <v>42787</v>
      </c>
      <c r="D107" s="1">
        <v>42325</v>
      </c>
      <c r="E107" t="s">
        <v>23</v>
      </c>
      <c r="F107" t="s">
        <v>324</v>
      </c>
      <c r="G107" t="s">
        <v>139</v>
      </c>
      <c r="H107" t="s">
        <v>9</v>
      </c>
      <c r="I107" t="s">
        <v>276</v>
      </c>
      <c r="J107" t="s">
        <v>140</v>
      </c>
      <c r="K107" t="s">
        <v>141</v>
      </c>
      <c r="L107">
        <v>80013</v>
      </c>
      <c r="M107" t="s">
        <v>20</v>
      </c>
      <c r="N107" t="s">
        <v>444</v>
      </c>
      <c r="O107" t="s">
        <v>21</v>
      </c>
      <c r="P107" t="s">
        <v>270</v>
      </c>
      <c r="Q107" t="s">
        <v>209</v>
      </c>
      <c r="R107">
        <v>36.882000000000005</v>
      </c>
      <c r="S107">
        <v>3</v>
      </c>
      <c r="T107">
        <v>0.7</v>
      </c>
      <c r="U107">
        <v>-25.817399999999999</v>
      </c>
    </row>
    <row r="108" spans="1:21" x14ac:dyDescent="0.3">
      <c r="A108">
        <v>107</v>
      </c>
      <c r="B108" t="s">
        <v>519</v>
      </c>
      <c r="C108" s="1">
        <v>42788</v>
      </c>
      <c r="D108" s="1">
        <v>43067</v>
      </c>
      <c r="E108" t="s">
        <v>23</v>
      </c>
      <c r="F108" t="s">
        <v>325</v>
      </c>
      <c r="G108" t="s">
        <v>142</v>
      </c>
      <c r="H108" t="s">
        <v>9</v>
      </c>
      <c r="I108" t="s">
        <v>276</v>
      </c>
      <c r="J108" t="s">
        <v>143</v>
      </c>
      <c r="K108" t="s">
        <v>33</v>
      </c>
      <c r="L108">
        <v>28205</v>
      </c>
      <c r="M108" t="s">
        <v>12</v>
      </c>
      <c r="N108" t="s">
        <v>445</v>
      </c>
      <c r="O108" t="s">
        <v>29</v>
      </c>
      <c r="P108" t="s">
        <v>271</v>
      </c>
      <c r="Q108" t="s">
        <v>250</v>
      </c>
      <c r="R108">
        <v>74.112000000000009</v>
      </c>
      <c r="S108">
        <v>8</v>
      </c>
      <c r="T108">
        <v>0.2</v>
      </c>
      <c r="U108">
        <v>17.601600000000001</v>
      </c>
    </row>
    <row r="109" spans="1:21" x14ac:dyDescent="0.3">
      <c r="A109">
        <v>108</v>
      </c>
      <c r="B109" t="s">
        <v>519</v>
      </c>
      <c r="C109" s="1">
        <v>42789</v>
      </c>
      <c r="D109" s="1">
        <v>43067</v>
      </c>
      <c r="E109" t="s">
        <v>23</v>
      </c>
      <c r="F109" t="s">
        <v>325</v>
      </c>
      <c r="G109" t="s">
        <v>142</v>
      </c>
      <c r="H109" t="s">
        <v>9</v>
      </c>
      <c r="I109" t="s">
        <v>276</v>
      </c>
      <c r="J109" t="s">
        <v>143</v>
      </c>
      <c r="K109" t="s">
        <v>33</v>
      </c>
      <c r="L109">
        <v>28205</v>
      </c>
      <c r="M109" t="s">
        <v>12</v>
      </c>
      <c r="N109" t="s">
        <v>446</v>
      </c>
      <c r="O109" t="s">
        <v>29</v>
      </c>
      <c r="P109" t="s">
        <v>269</v>
      </c>
      <c r="Q109" t="s">
        <v>187</v>
      </c>
      <c r="R109">
        <v>27.992000000000004</v>
      </c>
      <c r="S109">
        <v>1</v>
      </c>
      <c r="T109">
        <v>0.2</v>
      </c>
      <c r="U109">
        <v>2.0993999999999993</v>
      </c>
    </row>
    <row r="110" spans="1:21" x14ac:dyDescent="0.3">
      <c r="A110">
        <v>109</v>
      </c>
      <c r="B110" t="s">
        <v>519</v>
      </c>
      <c r="C110" s="1">
        <v>42790</v>
      </c>
      <c r="D110" s="1">
        <v>43067</v>
      </c>
      <c r="E110" t="s">
        <v>23</v>
      </c>
      <c r="F110" t="s">
        <v>325</v>
      </c>
      <c r="G110" t="s">
        <v>142</v>
      </c>
      <c r="H110" t="s">
        <v>9</v>
      </c>
      <c r="I110" t="s">
        <v>276</v>
      </c>
      <c r="J110" t="s">
        <v>143</v>
      </c>
      <c r="K110" t="s">
        <v>33</v>
      </c>
      <c r="L110">
        <v>28205</v>
      </c>
      <c r="M110" t="s">
        <v>12</v>
      </c>
      <c r="N110" t="s">
        <v>447</v>
      </c>
      <c r="O110" t="s">
        <v>21</v>
      </c>
      <c r="P110" t="s">
        <v>268</v>
      </c>
      <c r="Q110" t="s">
        <v>208</v>
      </c>
      <c r="R110">
        <v>3.3040000000000003</v>
      </c>
      <c r="S110">
        <v>1</v>
      </c>
      <c r="T110">
        <v>0.2</v>
      </c>
      <c r="U110">
        <v>1.0737999999999999</v>
      </c>
    </row>
    <row r="111" spans="1:21" x14ac:dyDescent="0.3">
      <c r="A111">
        <v>110</v>
      </c>
      <c r="B111" t="s">
        <v>482</v>
      </c>
      <c r="C111" s="1">
        <v>42791</v>
      </c>
      <c r="D111" s="1">
        <v>42297</v>
      </c>
      <c r="E111" t="s">
        <v>23</v>
      </c>
      <c r="F111" t="s">
        <v>326</v>
      </c>
      <c r="G111" t="s">
        <v>144</v>
      </c>
      <c r="H111" t="s">
        <v>39</v>
      </c>
      <c r="I111" t="s">
        <v>276</v>
      </c>
      <c r="J111" t="s">
        <v>145</v>
      </c>
      <c r="K111" t="s">
        <v>74</v>
      </c>
      <c r="L111">
        <v>60462</v>
      </c>
      <c r="M111" t="s">
        <v>42</v>
      </c>
      <c r="N111" t="s">
        <v>448</v>
      </c>
      <c r="O111" t="s">
        <v>29</v>
      </c>
      <c r="P111" t="s">
        <v>271</v>
      </c>
      <c r="Q111" t="s">
        <v>165</v>
      </c>
      <c r="R111">
        <v>339.96000000000004</v>
      </c>
      <c r="S111">
        <v>5</v>
      </c>
      <c r="T111">
        <v>0.2</v>
      </c>
      <c r="U111">
        <v>67.991999999999962</v>
      </c>
    </row>
    <row r="112" spans="1:21" x14ac:dyDescent="0.3">
      <c r="A112">
        <v>111</v>
      </c>
      <c r="B112" t="s">
        <v>520</v>
      </c>
      <c r="C112" s="1">
        <v>42792</v>
      </c>
      <c r="D112" s="1">
        <v>43099</v>
      </c>
      <c r="E112" t="s">
        <v>23</v>
      </c>
      <c r="F112" t="s">
        <v>327</v>
      </c>
      <c r="G112" t="s">
        <v>146</v>
      </c>
      <c r="H112" t="s">
        <v>17</v>
      </c>
      <c r="I112" t="s">
        <v>276</v>
      </c>
      <c r="J112" t="s">
        <v>91</v>
      </c>
      <c r="K112" t="s">
        <v>92</v>
      </c>
      <c r="L112">
        <v>10035</v>
      </c>
      <c r="M112" t="s">
        <v>58</v>
      </c>
      <c r="N112" t="s">
        <v>449</v>
      </c>
      <c r="O112" t="s">
        <v>13</v>
      </c>
      <c r="P112" t="s">
        <v>267</v>
      </c>
      <c r="Q112" t="s">
        <v>217</v>
      </c>
      <c r="R112">
        <v>41.96</v>
      </c>
      <c r="S112">
        <v>2</v>
      </c>
      <c r="T112">
        <v>0</v>
      </c>
      <c r="U112">
        <v>10.909600000000001</v>
      </c>
    </row>
    <row r="113" spans="1:21" x14ac:dyDescent="0.3">
      <c r="A113">
        <v>112</v>
      </c>
      <c r="B113" t="s">
        <v>504</v>
      </c>
      <c r="C113" s="1">
        <v>42793</v>
      </c>
      <c r="D113" s="1">
        <v>42684</v>
      </c>
      <c r="E113" t="s">
        <v>23</v>
      </c>
      <c r="F113" t="s">
        <v>328</v>
      </c>
      <c r="G113" t="s">
        <v>147</v>
      </c>
      <c r="H113" t="s">
        <v>9</v>
      </c>
      <c r="I113" t="s">
        <v>276</v>
      </c>
      <c r="J113" t="s">
        <v>148</v>
      </c>
      <c r="K113" t="s">
        <v>149</v>
      </c>
      <c r="L113">
        <v>50322</v>
      </c>
      <c r="M113" t="s">
        <v>42</v>
      </c>
      <c r="N113" t="s">
        <v>450</v>
      </c>
      <c r="O113" t="s">
        <v>21</v>
      </c>
      <c r="P113" t="s">
        <v>268</v>
      </c>
      <c r="Q113" t="s">
        <v>210</v>
      </c>
      <c r="R113">
        <v>75.959999999999994</v>
      </c>
      <c r="S113">
        <v>2</v>
      </c>
      <c r="T113">
        <v>0</v>
      </c>
      <c r="U113">
        <v>22.78799999999999</v>
      </c>
    </row>
    <row r="114" spans="1:21" x14ac:dyDescent="0.3">
      <c r="A114">
        <v>113</v>
      </c>
      <c r="B114" t="s">
        <v>504</v>
      </c>
      <c r="C114" s="1">
        <v>42794</v>
      </c>
      <c r="D114" s="1">
        <v>42684</v>
      </c>
      <c r="E114" t="s">
        <v>23</v>
      </c>
      <c r="F114" t="s">
        <v>328</v>
      </c>
      <c r="G114" t="s">
        <v>147</v>
      </c>
      <c r="H114" t="s">
        <v>9</v>
      </c>
      <c r="I114" t="s">
        <v>276</v>
      </c>
      <c r="J114" t="s">
        <v>148</v>
      </c>
      <c r="K114" t="s">
        <v>149</v>
      </c>
      <c r="L114">
        <v>50322</v>
      </c>
      <c r="M114" t="s">
        <v>42</v>
      </c>
      <c r="N114" t="s">
        <v>451</v>
      </c>
      <c r="O114" t="s">
        <v>21</v>
      </c>
      <c r="P114" t="s">
        <v>270</v>
      </c>
      <c r="Q114" t="s">
        <v>240</v>
      </c>
      <c r="R114">
        <v>27.240000000000002</v>
      </c>
      <c r="S114">
        <v>6</v>
      </c>
      <c r="T114">
        <v>0</v>
      </c>
      <c r="U114">
        <v>13.3476</v>
      </c>
    </row>
    <row r="115" spans="1:21" x14ac:dyDescent="0.3">
      <c r="A115">
        <v>114</v>
      </c>
      <c r="B115" t="s">
        <v>469</v>
      </c>
      <c r="C115" s="1">
        <v>42795</v>
      </c>
      <c r="D115" s="1">
        <v>41878</v>
      </c>
      <c r="E115" t="s">
        <v>7</v>
      </c>
      <c r="F115" t="s">
        <v>329</v>
      </c>
      <c r="G115" t="s">
        <v>150</v>
      </c>
      <c r="H115" t="s">
        <v>9</v>
      </c>
      <c r="I115" t="s">
        <v>276</v>
      </c>
      <c r="J115" t="s">
        <v>151</v>
      </c>
      <c r="K115" t="s">
        <v>152</v>
      </c>
      <c r="L115">
        <v>43229</v>
      </c>
      <c r="M115" t="s">
        <v>58</v>
      </c>
      <c r="N115" t="s">
        <v>452</v>
      </c>
      <c r="O115" t="s">
        <v>21</v>
      </c>
      <c r="P115" t="s">
        <v>272</v>
      </c>
      <c r="Q115" t="s">
        <v>199</v>
      </c>
      <c r="R115">
        <v>40.096000000000004</v>
      </c>
      <c r="S115">
        <v>14</v>
      </c>
      <c r="T115">
        <v>0.2</v>
      </c>
      <c r="U115">
        <v>14.534799999999997</v>
      </c>
    </row>
    <row r="116" spans="1:21" x14ac:dyDescent="0.3">
      <c r="A116">
        <v>115</v>
      </c>
      <c r="B116" t="s">
        <v>469</v>
      </c>
      <c r="C116" s="1">
        <v>42796</v>
      </c>
      <c r="D116" s="1">
        <v>41878</v>
      </c>
      <c r="E116" t="s">
        <v>7</v>
      </c>
      <c r="F116" t="s">
        <v>329</v>
      </c>
      <c r="G116" t="s">
        <v>150</v>
      </c>
      <c r="H116" t="s">
        <v>9</v>
      </c>
      <c r="I116" t="s">
        <v>276</v>
      </c>
      <c r="J116" t="s">
        <v>151</v>
      </c>
      <c r="K116" t="s">
        <v>152</v>
      </c>
      <c r="L116">
        <v>43229</v>
      </c>
      <c r="M116" t="s">
        <v>58</v>
      </c>
      <c r="N116" t="s">
        <v>453</v>
      </c>
      <c r="O116" t="s">
        <v>21</v>
      </c>
      <c r="P116" t="s">
        <v>70</v>
      </c>
      <c r="Q116" t="s">
        <v>219</v>
      </c>
      <c r="R116">
        <v>4.7200000000000006</v>
      </c>
      <c r="S116">
        <v>2</v>
      </c>
      <c r="T116">
        <v>0.2</v>
      </c>
      <c r="U116">
        <v>1.6519999999999997</v>
      </c>
    </row>
    <row r="117" spans="1:21" x14ac:dyDescent="0.3">
      <c r="A117">
        <v>116</v>
      </c>
      <c r="B117" t="s">
        <v>469</v>
      </c>
      <c r="C117" s="1">
        <v>42797</v>
      </c>
      <c r="D117" s="1">
        <v>41878</v>
      </c>
      <c r="E117" t="s">
        <v>7</v>
      </c>
      <c r="F117" t="s">
        <v>329</v>
      </c>
      <c r="G117" t="s">
        <v>150</v>
      </c>
      <c r="H117" t="s">
        <v>9</v>
      </c>
      <c r="I117" t="s">
        <v>276</v>
      </c>
      <c r="J117" t="s">
        <v>151</v>
      </c>
      <c r="K117" t="s">
        <v>152</v>
      </c>
      <c r="L117">
        <v>43229</v>
      </c>
      <c r="M117" t="s">
        <v>58</v>
      </c>
      <c r="N117" t="s">
        <v>454</v>
      </c>
      <c r="O117" t="s">
        <v>21</v>
      </c>
      <c r="P117" t="s">
        <v>34</v>
      </c>
      <c r="Q117" t="s">
        <v>207</v>
      </c>
      <c r="R117">
        <v>23.976000000000003</v>
      </c>
      <c r="S117">
        <v>3</v>
      </c>
      <c r="T117">
        <v>0.2</v>
      </c>
      <c r="U117">
        <v>7.4924999999999988</v>
      </c>
    </row>
    <row r="118" spans="1:21" x14ac:dyDescent="0.3">
      <c r="A118">
        <v>117</v>
      </c>
      <c r="B118" t="s">
        <v>469</v>
      </c>
      <c r="C118" s="1">
        <v>42798</v>
      </c>
      <c r="D118" s="1">
        <v>41878</v>
      </c>
      <c r="E118" t="s">
        <v>7</v>
      </c>
      <c r="F118" t="s">
        <v>329</v>
      </c>
      <c r="G118" t="s">
        <v>150</v>
      </c>
      <c r="H118" t="s">
        <v>9</v>
      </c>
      <c r="I118" t="s">
        <v>276</v>
      </c>
      <c r="J118" t="s">
        <v>151</v>
      </c>
      <c r="K118" t="s">
        <v>152</v>
      </c>
      <c r="L118">
        <v>43229</v>
      </c>
      <c r="M118" t="s">
        <v>58</v>
      </c>
      <c r="N118" t="s">
        <v>455</v>
      </c>
      <c r="O118" t="s">
        <v>21</v>
      </c>
      <c r="P118" t="s">
        <v>70</v>
      </c>
      <c r="Q118" t="s">
        <v>239</v>
      </c>
      <c r="R118">
        <v>130.464</v>
      </c>
      <c r="S118">
        <v>6</v>
      </c>
      <c r="T118">
        <v>0.2</v>
      </c>
      <c r="U118">
        <v>44.031599999999997</v>
      </c>
    </row>
    <row r="119" spans="1:21" x14ac:dyDescent="0.3">
      <c r="A119">
        <v>118</v>
      </c>
      <c r="B119" t="s">
        <v>483</v>
      </c>
      <c r="C119" s="1">
        <v>42799</v>
      </c>
      <c r="D119" s="1">
        <v>42069</v>
      </c>
      <c r="E119" t="s">
        <v>23</v>
      </c>
      <c r="F119" t="s">
        <v>330</v>
      </c>
      <c r="G119" t="s">
        <v>153</v>
      </c>
      <c r="H119" t="s">
        <v>9</v>
      </c>
      <c r="I119" t="s">
        <v>276</v>
      </c>
      <c r="J119" t="s">
        <v>36</v>
      </c>
      <c r="K119" t="s">
        <v>37</v>
      </c>
      <c r="L119">
        <v>98103</v>
      </c>
      <c r="M119" t="s">
        <v>20</v>
      </c>
      <c r="N119" t="s">
        <v>456</v>
      </c>
      <c r="O119" t="s">
        <v>13</v>
      </c>
      <c r="P119" t="s">
        <v>27</v>
      </c>
      <c r="Q119" t="s">
        <v>169</v>
      </c>
      <c r="R119">
        <v>787.53</v>
      </c>
      <c r="S119">
        <v>3</v>
      </c>
      <c r="T119">
        <v>0</v>
      </c>
      <c r="U119">
        <v>165.38129999999995</v>
      </c>
    </row>
    <row r="120" spans="1:21" x14ac:dyDescent="0.3">
      <c r="A120">
        <v>119</v>
      </c>
      <c r="B120" t="s">
        <v>484</v>
      </c>
      <c r="C120" s="1">
        <v>42800</v>
      </c>
      <c r="D120" s="1">
        <v>42104</v>
      </c>
      <c r="E120" t="s">
        <v>23</v>
      </c>
      <c r="F120" t="s">
        <v>331</v>
      </c>
      <c r="G120" t="s">
        <v>154</v>
      </c>
      <c r="H120" t="s">
        <v>17</v>
      </c>
      <c r="I120" t="s">
        <v>276</v>
      </c>
      <c r="J120" t="s">
        <v>155</v>
      </c>
      <c r="K120" t="s">
        <v>110</v>
      </c>
      <c r="L120">
        <v>37620</v>
      </c>
      <c r="M120" t="s">
        <v>12</v>
      </c>
      <c r="N120" t="s">
        <v>457</v>
      </c>
      <c r="O120" t="s">
        <v>21</v>
      </c>
      <c r="P120" t="s">
        <v>270</v>
      </c>
      <c r="Q120" t="s">
        <v>228</v>
      </c>
      <c r="R120">
        <v>157.79400000000004</v>
      </c>
      <c r="S120">
        <v>1</v>
      </c>
      <c r="T120">
        <v>0.7</v>
      </c>
      <c r="U120">
        <v>-115.71559999999999</v>
      </c>
    </row>
    <row r="121" spans="1:21" x14ac:dyDescent="0.3">
      <c r="A121">
        <v>120</v>
      </c>
      <c r="B121" t="s">
        <v>505</v>
      </c>
      <c r="C121" s="1">
        <v>42801</v>
      </c>
      <c r="D121" s="1">
        <v>42536</v>
      </c>
      <c r="E121" t="s">
        <v>66</v>
      </c>
      <c r="F121" t="s">
        <v>332</v>
      </c>
      <c r="G121" t="s">
        <v>157</v>
      </c>
      <c r="H121" t="s">
        <v>9</v>
      </c>
      <c r="I121" t="s">
        <v>276</v>
      </c>
      <c r="J121" t="s">
        <v>158</v>
      </c>
      <c r="K121" t="s">
        <v>86</v>
      </c>
      <c r="L121">
        <v>19805</v>
      </c>
      <c r="M121" t="s">
        <v>58</v>
      </c>
      <c r="N121" t="s">
        <v>458</v>
      </c>
      <c r="O121" t="s">
        <v>13</v>
      </c>
      <c r="P121" t="s">
        <v>267</v>
      </c>
      <c r="Q121" t="s">
        <v>198</v>
      </c>
      <c r="R121">
        <v>47.04</v>
      </c>
      <c r="S121">
        <v>3</v>
      </c>
      <c r="T121">
        <v>0</v>
      </c>
      <c r="U121">
        <v>18.345599999999997</v>
      </c>
    </row>
    <row r="122" spans="1:21" x14ac:dyDescent="0.3">
      <c r="D122" s="1"/>
    </row>
    <row r="123" spans="1:21" x14ac:dyDescent="0.3">
      <c r="D123" s="1"/>
      <c r="R123">
        <f>SUM(R1:R121)</f>
        <v>23786.501700000004</v>
      </c>
      <c r="U123">
        <f>SUM(U1:U121)</f>
        <v>110.99569999999963</v>
      </c>
    </row>
    <row r="124" spans="1:21" x14ac:dyDescent="0.3">
      <c r="D124" s="1"/>
    </row>
    <row r="125" spans="1:21" x14ac:dyDescent="0.3">
      <c r="D125" s="1"/>
    </row>
    <row r="126" spans="1:21" x14ac:dyDescent="0.3">
      <c r="D126" s="1"/>
    </row>
    <row r="127" spans="1:21" x14ac:dyDescent="0.3">
      <c r="D127" s="1"/>
    </row>
    <row r="128" spans="1:21" x14ac:dyDescent="0.3">
      <c r="D128" s="1"/>
    </row>
    <row r="129" spans="4:4" x14ac:dyDescent="0.3">
      <c r="D129" s="1"/>
    </row>
    <row r="130" spans="4:4" x14ac:dyDescent="0.3">
      <c r="D130" s="1"/>
    </row>
    <row r="131" spans="4:4" x14ac:dyDescent="0.3">
      <c r="D131" s="1"/>
    </row>
    <row r="132" spans="4:4" x14ac:dyDescent="0.3">
      <c r="D132" s="1"/>
    </row>
    <row r="133" spans="4:4" x14ac:dyDescent="0.3">
      <c r="D133" s="1"/>
    </row>
    <row r="134" spans="4:4" x14ac:dyDescent="0.3">
      <c r="D134" s="1"/>
    </row>
    <row r="135" spans="4:4" x14ac:dyDescent="0.3">
      <c r="D135" s="1"/>
    </row>
    <row r="136" spans="4:4" x14ac:dyDescent="0.3">
      <c r="D136" s="1"/>
    </row>
    <row r="137" spans="4:4" x14ac:dyDescent="0.3">
      <c r="D137" s="1"/>
    </row>
    <row r="138" spans="4:4" x14ac:dyDescent="0.3">
      <c r="D138" s="1"/>
    </row>
    <row r="139" spans="4:4" x14ac:dyDescent="0.3">
      <c r="D139" s="1"/>
    </row>
    <row r="140" spans="4:4" x14ac:dyDescent="0.3">
      <c r="D140" s="1"/>
    </row>
    <row r="141" spans="4:4" x14ac:dyDescent="0.3">
      <c r="D141" s="1"/>
    </row>
    <row r="142" spans="4:4" x14ac:dyDescent="0.3">
      <c r="D142" s="1"/>
    </row>
    <row r="143" spans="4:4" x14ac:dyDescent="0.3">
      <c r="D143" s="1"/>
    </row>
    <row r="144" spans="4:4" x14ac:dyDescent="0.3">
      <c r="D144" s="1"/>
    </row>
    <row r="145" spans="4:4" x14ac:dyDescent="0.3">
      <c r="D145" s="1"/>
    </row>
    <row r="146" spans="4:4" x14ac:dyDescent="0.3">
      <c r="D146" s="1"/>
    </row>
    <row r="147" spans="4:4" x14ac:dyDescent="0.3">
      <c r="D147" s="1"/>
    </row>
    <row r="148" spans="4:4" x14ac:dyDescent="0.3">
      <c r="D148" s="1"/>
    </row>
    <row r="149" spans="4:4" x14ac:dyDescent="0.3">
      <c r="D149" s="1"/>
    </row>
    <row r="150" spans="4:4" x14ac:dyDescent="0.3">
      <c r="D150" s="1"/>
    </row>
    <row r="151" spans="4:4" x14ac:dyDescent="0.3">
      <c r="D151" s="1"/>
    </row>
    <row r="152" spans="4:4" x14ac:dyDescent="0.3">
      <c r="D152" s="1"/>
    </row>
    <row r="153" spans="4:4" x14ac:dyDescent="0.3">
      <c r="D153" s="1"/>
    </row>
    <row r="154" spans="4:4" x14ac:dyDescent="0.3">
      <c r="D154" s="1"/>
    </row>
    <row r="155" spans="4:4" x14ac:dyDescent="0.3">
      <c r="D155" s="1"/>
    </row>
    <row r="156" spans="4:4" x14ac:dyDescent="0.3">
      <c r="D156" s="1"/>
    </row>
    <row r="157" spans="4:4" x14ac:dyDescent="0.3">
      <c r="D157" s="1"/>
    </row>
  </sheetData>
  <phoneticPr fontId="4" type="noConversion"/>
  <pageMargins left="0.75" right="0.75" top="1" bottom="1" header="0.5" footer="0.5"/>
  <pageSetup orientation="portrait" horizontalDpi="4294967292" verticalDpi="4294967292"/>
  <headerFooter alignWithMargins="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9B15F-E527-4F31-8AE2-08C4993CAF3F}">
  <dimension ref="A1:N29"/>
  <sheetViews>
    <sheetView zoomScale="85" zoomScaleNormal="85" workbookViewId="0">
      <selection activeCell="X20" sqref="X20"/>
    </sheetView>
  </sheetViews>
  <sheetFormatPr defaultRowHeight="15.6" x14ac:dyDescent="0.3"/>
  <cols>
    <col min="1" max="1" width="11.3984375" bestFit="1" customWidth="1"/>
    <col min="2" max="2" width="11.59765625" bestFit="1" customWidth="1"/>
    <col min="4" max="4" width="13.296875" bestFit="1" customWidth="1"/>
    <col min="5" max="5" width="9" bestFit="1" customWidth="1"/>
    <col min="7" max="7" width="14.296875" bestFit="1" customWidth="1"/>
    <col min="8" max="8" width="10.09765625" bestFit="1" customWidth="1"/>
    <col min="10" max="10" width="61.69921875" bestFit="1" customWidth="1"/>
    <col min="11" max="11" width="11.59765625" bestFit="1" customWidth="1"/>
    <col min="13" max="13" width="13.3984375" bestFit="1" customWidth="1"/>
    <col min="14" max="14" width="11.59765625" bestFit="1" customWidth="1"/>
    <col min="16" max="16" width="13.3984375" bestFit="1" customWidth="1"/>
    <col min="17" max="17" width="10.8984375" bestFit="1" customWidth="1"/>
  </cols>
  <sheetData>
    <row r="1" spans="1:14" x14ac:dyDescent="0.3">
      <c r="A1" s="3" t="s">
        <v>526</v>
      </c>
      <c r="D1" s="3" t="s">
        <v>528</v>
      </c>
      <c r="G1" s="3" t="s">
        <v>530</v>
      </c>
      <c r="J1" s="3" t="s">
        <v>531</v>
      </c>
      <c r="M1" s="3" t="s">
        <v>532</v>
      </c>
    </row>
    <row r="2" spans="1:14" x14ac:dyDescent="0.3">
      <c r="M2" s="5" t="s">
        <v>524</v>
      </c>
      <c r="N2" s="8"/>
    </row>
    <row r="3" spans="1:14" x14ac:dyDescent="0.3">
      <c r="A3" s="5" t="s">
        <v>524</v>
      </c>
      <c r="B3" s="8"/>
      <c r="D3" s="5" t="s">
        <v>527</v>
      </c>
      <c r="E3" s="8"/>
      <c r="G3" s="5" t="s">
        <v>527</v>
      </c>
      <c r="H3" s="8"/>
      <c r="J3" s="5" t="s">
        <v>524</v>
      </c>
      <c r="K3" s="8"/>
      <c r="M3" s="5" t="s">
        <v>1</v>
      </c>
      <c r="N3" s="8" t="s">
        <v>525</v>
      </c>
    </row>
    <row r="4" spans="1:14" x14ac:dyDescent="0.3">
      <c r="A4" s="5" t="s">
        <v>2</v>
      </c>
      <c r="B4" s="8" t="s">
        <v>525</v>
      </c>
      <c r="D4" s="5" t="s">
        <v>339</v>
      </c>
      <c r="E4" s="8" t="s">
        <v>525</v>
      </c>
      <c r="G4" s="5" t="s">
        <v>340</v>
      </c>
      <c r="H4" s="8" t="s">
        <v>525</v>
      </c>
      <c r="J4" s="5" t="s">
        <v>341</v>
      </c>
      <c r="K4" s="8" t="s">
        <v>525</v>
      </c>
      <c r="M4" s="4" t="s">
        <v>115</v>
      </c>
      <c r="N4" s="8">
        <v>224.9</v>
      </c>
    </row>
    <row r="5" spans="1:14" x14ac:dyDescent="0.3">
      <c r="A5" s="4" t="s">
        <v>42</v>
      </c>
      <c r="B5" s="18">
        <v>5507.2041999999983</v>
      </c>
      <c r="D5" s="4" t="s">
        <v>13</v>
      </c>
      <c r="E5" s="18">
        <v>-77.345900000000015</v>
      </c>
      <c r="G5" s="4" t="s">
        <v>271</v>
      </c>
      <c r="H5" s="8">
        <v>100.66379999999995</v>
      </c>
      <c r="J5" s="4" t="s">
        <v>63</v>
      </c>
      <c r="K5" s="18">
        <v>3083.4300000000003</v>
      </c>
      <c r="M5" s="6" t="s">
        <v>101</v>
      </c>
      <c r="N5" s="9">
        <v>1280.9920000000002</v>
      </c>
    </row>
    <row r="6" spans="1:14" x14ac:dyDescent="0.3">
      <c r="A6" s="6" t="s">
        <v>58</v>
      </c>
      <c r="B6" s="19">
        <v>5557.308</v>
      </c>
      <c r="D6" s="6" t="s">
        <v>21</v>
      </c>
      <c r="E6" s="19">
        <v>-97.831100000000021</v>
      </c>
      <c r="G6" s="6" t="s">
        <v>30</v>
      </c>
      <c r="H6" s="9">
        <v>5.0887999999999991</v>
      </c>
      <c r="J6" s="6" t="s">
        <v>201</v>
      </c>
      <c r="K6" s="19">
        <v>907.15200000000004</v>
      </c>
      <c r="M6" s="6" t="s">
        <v>19</v>
      </c>
      <c r="N6" s="9">
        <v>4607.8419999999987</v>
      </c>
    </row>
    <row r="7" spans="1:14" x14ac:dyDescent="0.3">
      <c r="A7" s="6" t="s">
        <v>12</v>
      </c>
      <c r="B7" s="19">
        <v>4153.6995000000006</v>
      </c>
      <c r="D7" s="6" t="s">
        <v>29</v>
      </c>
      <c r="E7" s="19">
        <v>98.951099999999911</v>
      </c>
      <c r="G7" s="6" t="s">
        <v>268</v>
      </c>
      <c r="H7" s="9">
        <v>169.57199999999997</v>
      </c>
      <c r="J7" s="6" t="s">
        <v>237</v>
      </c>
      <c r="K7" s="19">
        <v>911.42399999999998</v>
      </c>
      <c r="M7" s="6" t="s">
        <v>141</v>
      </c>
      <c r="N7" s="9">
        <v>378.13799999999998</v>
      </c>
    </row>
    <row r="8" spans="1:14" x14ac:dyDescent="0.3">
      <c r="A8" s="6" t="s">
        <v>20</v>
      </c>
      <c r="B8" s="19">
        <v>8568.2899999999991</v>
      </c>
      <c r="D8" s="7" t="s">
        <v>523</v>
      </c>
      <c r="E8" s="20">
        <v>-76.225900000000109</v>
      </c>
      <c r="G8" s="6" t="s">
        <v>270</v>
      </c>
      <c r="H8" s="9">
        <v>92.218099999999879</v>
      </c>
      <c r="J8" s="6" t="s">
        <v>166</v>
      </c>
      <c r="K8" s="19">
        <v>1113.0240000000001</v>
      </c>
      <c r="M8" s="6" t="s">
        <v>86</v>
      </c>
      <c r="N8" s="9">
        <v>113.84</v>
      </c>
    </row>
    <row r="9" spans="1:14" x14ac:dyDescent="0.3">
      <c r="A9" s="7" t="s">
        <v>523</v>
      </c>
      <c r="B9" s="20">
        <v>23786.501699999997</v>
      </c>
      <c r="G9" s="6" t="s">
        <v>14</v>
      </c>
      <c r="H9" s="9">
        <v>-1670.115</v>
      </c>
      <c r="J9" s="6" t="s">
        <v>169</v>
      </c>
      <c r="K9" s="19">
        <v>787.53</v>
      </c>
      <c r="M9" s="6" t="s">
        <v>26</v>
      </c>
      <c r="N9" s="9">
        <v>1075.5615</v>
      </c>
    </row>
    <row r="10" spans="1:14" x14ac:dyDescent="0.3">
      <c r="G10" s="6" t="s">
        <v>265</v>
      </c>
      <c r="H10" s="9">
        <v>131.21339999999992</v>
      </c>
      <c r="J10" s="6" t="s">
        <v>111</v>
      </c>
      <c r="K10" s="19">
        <v>831.93600000000015</v>
      </c>
      <c r="M10" s="6" t="s">
        <v>74</v>
      </c>
      <c r="N10" s="9">
        <v>1093.0070000000001</v>
      </c>
    </row>
    <row r="11" spans="1:14" x14ac:dyDescent="0.3">
      <c r="A11" s="3" t="s">
        <v>529</v>
      </c>
      <c r="G11" s="6" t="s">
        <v>70</v>
      </c>
      <c r="H11" s="9">
        <v>145.00769999999997</v>
      </c>
      <c r="J11" s="6" t="s">
        <v>252</v>
      </c>
      <c r="K11" s="19">
        <v>1097.5440000000003</v>
      </c>
      <c r="M11" s="6" t="s">
        <v>89</v>
      </c>
      <c r="N11" s="9">
        <v>209.54999999999998</v>
      </c>
    </row>
    <row r="12" spans="1:14" x14ac:dyDescent="0.3">
      <c r="G12" s="6" t="s">
        <v>272</v>
      </c>
      <c r="H12" s="9">
        <v>20.791399999999996</v>
      </c>
      <c r="J12" s="6" t="s">
        <v>223</v>
      </c>
      <c r="K12" s="19">
        <v>1706.1840000000002</v>
      </c>
      <c r="M12" s="6" t="s">
        <v>149</v>
      </c>
      <c r="N12" s="9">
        <v>103.19999999999999</v>
      </c>
    </row>
    <row r="13" spans="1:14" x14ac:dyDescent="0.3">
      <c r="A13" s="5" t="s">
        <v>524</v>
      </c>
      <c r="B13" s="8"/>
      <c r="G13" s="6" t="s">
        <v>267</v>
      </c>
      <c r="H13" s="9">
        <v>-29.571100000000037</v>
      </c>
      <c r="J13" s="6" t="s">
        <v>167</v>
      </c>
      <c r="K13" s="19">
        <v>2002.2075</v>
      </c>
      <c r="M13" s="6" t="s">
        <v>11</v>
      </c>
      <c r="N13" s="9">
        <v>993.89999999999986</v>
      </c>
    </row>
    <row r="14" spans="1:14" x14ac:dyDescent="0.3">
      <c r="A14" s="5" t="s">
        <v>459</v>
      </c>
      <c r="B14" s="8" t="s">
        <v>525</v>
      </c>
      <c r="G14" s="6" t="s">
        <v>22</v>
      </c>
      <c r="H14" s="9">
        <v>45.162799999999997</v>
      </c>
      <c r="J14" s="6" t="s">
        <v>213</v>
      </c>
      <c r="K14" s="19">
        <v>1029.95</v>
      </c>
      <c r="M14" s="6" t="s">
        <v>83</v>
      </c>
      <c r="N14" s="9">
        <v>231.01</v>
      </c>
    </row>
    <row r="15" spans="1:14" x14ac:dyDescent="0.3">
      <c r="A15" s="4" t="s">
        <v>9</v>
      </c>
      <c r="B15" s="8">
        <v>16315.23549999999</v>
      </c>
      <c r="G15" s="6" t="s">
        <v>34</v>
      </c>
      <c r="H15" s="9">
        <v>202.48340000000002</v>
      </c>
      <c r="J15" s="7" t="s">
        <v>523</v>
      </c>
      <c r="K15" s="20">
        <v>13470.381500000003</v>
      </c>
      <c r="M15" s="6" t="s">
        <v>80</v>
      </c>
      <c r="N15" s="9">
        <v>290.65000000000003</v>
      </c>
    </row>
    <row r="16" spans="1:14" x14ac:dyDescent="0.3">
      <c r="A16" s="6" t="s">
        <v>17</v>
      </c>
      <c r="B16" s="9">
        <v>4935.0680000000002</v>
      </c>
      <c r="G16" s="6" t="s">
        <v>269</v>
      </c>
      <c r="H16" s="9">
        <v>735.02459999999985</v>
      </c>
      <c r="M16" s="6" t="s">
        <v>54</v>
      </c>
      <c r="N16" s="9">
        <v>79.8</v>
      </c>
    </row>
    <row r="17" spans="1:14" x14ac:dyDescent="0.3">
      <c r="A17" s="6" t="s">
        <v>39</v>
      </c>
      <c r="B17" s="9">
        <v>2536.1981999999998</v>
      </c>
      <c r="G17" s="6" t="s">
        <v>266</v>
      </c>
      <c r="H17" s="9">
        <v>55.531399999999962</v>
      </c>
      <c r="M17" s="6" t="s">
        <v>92</v>
      </c>
      <c r="N17" s="9">
        <v>1843.4060000000002</v>
      </c>
    </row>
    <row r="18" spans="1:14" x14ac:dyDescent="0.3">
      <c r="A18" s="7" t="s">
        <v>523</v>
      </c>
      <c r="B18" s="10">
        <v>23786.50169999999</v>
      </c>
      <c r="G18" s="6" t="s">
        <v>27</v>
      </c>
      <c r="H18" s="9">
        <v>107.92439999999971</v>
      </c>
      <c r="M18" s="6" t="s">
        <v>33</v>
      </c>
      <c r="N18" s="9">
        <v>321.94400000000002</v>
      </c>
    </row>
    <row r="19" spans="1:14" x14ac:dyDescent="0.3">
      <c r="G19" s="7" t="s">
        <v>523</v>
      </c>
      <c r="H19" s="10">
        <v>110.99569999999886</v>
      </c>
      <c r="M19" s="6" t="s">
        <v>152</v>
      </c>
      <c r="N19" s="9">
        <v>199.256</v>
      </c>
    </row>
    <row r="20" spans="1:14" x14ac:dyDescent="0.3">
      <c r="D20" s="11" t="s">
        <v>533</v>
      </c>
      <c r="E20" t="s">
        <v>527</v>
      </c>
      <c r="M20" s="6" t="s">
        <v>131</v>
      </c>
      <c r="N20" s="9">
        <v>5.6820000000000013</v>
      </c>
    </row>
    <row r="21" spans="1:14" x14ac:dyDescent="0.3">
      <c r="D21" s="12" t="s">
        <v>9</v>
      </c>
      <c r="E21" s="21">
        <v>-447.69670000000036</v>
      </c>
      <c r="M21" s="6" t="s">
        <v>57</v>
      </c>
      <c r="N21" s="9">
        <v>3400.8060000000005</v>
      </c>
    </row>
    <row r="22" spans="1:14" x14ac:dyDescent="0.3">
      <c r="D22" s="12" t="s">
        <v>17</v>
      </c>
      <c r="E22" s="21">
        <v>598.16369999999995</v>
      </c>
      <c r="M22" s="6" t="s">
        <v>122</v>
      </c>
      <c r="N22" s="9">
        <v>301.95999999999998</v>
      </c>
    </row>
    <row r="23" spans="1:14" x14ac:dyDescent="0.3">
      <c r="D23" s="12" t="s">
        <v>39</v>
      </c>
      <c r="E23" s="21">
        <v>-39.471300000000127</v>
      </c>
      <c r="M23" s="6" t="s">
        <v>110</v>
      </c>
      <c r="N23" s="9">
        <v>1159.5540000000001</v>
      </c>
    </row>
    <row r="24" spans="1:14" x14ac:dyDescent="0.3">
      <c r="D24" s="12" t="s">
        <v>523</v>
      </c>
      <c r="E24" s="21">
        <v>110.99569999999946</v>
      </c>
      <c r="M24" s="6" t="s">
        <v>41</v>
      </c>
      <c r="N24" s="9">
        <v>2834.1072000000004</v>
      </c>
    </row>
    <row r="25" spans="1:14" x14ac:dyDescent="0.3">
      <c r="M25" s="6" t="s">
        <v>49</v>
      </c>
      <c r="N25" s="9">
        <v>1100.1299999999999</v>
      </c>
    </row>
    <row r="26" spans="1:14" x14ac:dyDescent="0.3">
      <c r="M26" s="6" t="s">
        <v>104</v>
      </c>
      <c r="N26" s="9">
        <v>75.88</v>
      </c>
    </row>
    <row r="27" spans="1:14" x14ac:dyDescent="0.3">
      <c r="M27" s="6" t="s">
        <v>37</v>
      </c>
      <c r="N27" s="9">
        <v>1195.5060000000001</v>
      </c>
    </row>
    <row r="28" spans="1:14" x14ac:dyDescent="0.3">
      <c r="M28" s="6" t="s">
        <v>46</v>
      </c>
      <c r="N28" s="9">
        <v>665.88</v>
      </c>
    </row>
    <row r="29" spans="1:14" x14ac:dyDescent="0.3">
      <c r="M29" s="7" t="s">
        <v>523</v>
      </c>
      <c r="N29" s="10">
        <v>23786.501700000004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129CF-9BA2-4454-B440-056F02924932}">
  <dimension ref="A1:AT36"/>
  <sheetViews>
    <sheetView showGridLines="0" showRowColHeaders="0" tabSelected="1" zoomScale="33" zoomScaleNormal="33" workbookViewId="0">
      <selection activeCell="AQ27" sqref="AQ27"/>
    </sheetView>
  </sheetViews>
  <sheetFormatPr defaultRowHeight="15.6" x14ac:dyDescent="0.3"/>
  <cols>
    <col min="13" max="13" width="4.796875" customWidth="1"/>
    <col min="16" max="16" width="12.296875" customWidth="1"/>
    <col min="17" max="17" width="3.5" customWidth="1"/>
    <col min="18" max="18" width="5.59765625" customWidth="1"/>
    <col min="20" max="20" width="13.69921875" customWidth="1"/>
    <col min="21" max="21" width="2.8984375" customWidth="1"/>
    <col min="22" max="22" width="6.09765625" customWidth="1"/>
    <col min="23" max="23" width="11.296875" bestFit="1" customWidth="1"/>
    <col min="24" max="24" width="28.3984375" customWidth="1"/>
  </cols>
  <sheetData>
    <row r="1" spans="1:36" ht="15.6" customHeight="1" x14ac:dyDescent="0.3">
      <c r="A1" s="29" t="s">
        <v>539</v>
      </c>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row>
    <row r="2" spans="1:36" ht="15.6" customHeight="1" x14ac:dyDescent="0.3">
      <c r="A2" s="29"/>
      <c r="B2" s="29"/>
      <c r="C2" s="29"/>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row>
    <row r="3" spans="1:36" ht="15.6" customHeight="1" x14ac:dyDescent="0.3">
      <c r="A3" s="29"/>
      <c r="B3" s="29"/>
      <c r="C3" s="29"/>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row>
    <row r="4" spans="1:36" x14ac:dyDescent="0.3">
      <c r="A4" s="29"/>
      <c r="B4" s="29"/>
      <c r="C4" s="29"/>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c r="AG4" s="29"/>
      <c r="AH4" s="29"/>
      <c r="AI4" s="29"/>
      <c r="AJ4" s="29"/>
    </row>
    <row r="6" spans="1:36" ht="33" x14ac:dyDescent="0.6">
      <c r="B6" s="28" t="s">
        <v>534</v>
      </c>
      <c r="C6" s="28"/>
      <c r="D6" s="28"/>
      <c r="E6" s="28"/>
      <c r="G6" s="25" t="s">
        <v>535</v>
      </c>
      <c r="H6" s="25"/>
      <c r="I6" s="25"/>
      <c r="J6" s="25"/>
      <c r="K6" s="25"/>
      <c r="L6" s="25"/>
      <c r="N6" s="26" t="s">
        <v>537</v>
      </c>
      <c r="O6" s="26"/>
      <c r="P6" s="26"/>
      <c r="R6" s="30" t="s">
        <v>536</v>
      </c>
      <c r="S6" s="30"/>
      <c r="T6" s="30"/>
      <c r="V6" s="31" t="s">
        <v>538</v>
      </c>
      <c r="W6" s="31"/>
      <c r="X6" s="31"/>
    </row>
    <row r="7" spans="1:36" ht="25.8" customHeight="1" x14ac:dyDescent="0.5">
      <c r="B7" s="27">
        <f>SUM(PIVOT_TABLE!B5:B8)</f>
        <v>23786.501699999997</v>
      </c>
      <c r="C7" s="27"/>
      <c r="D7" s="27"/>
      <c r="E7" s="27"/>
      <c r="G7" s="24">
        <f>SUM(PIVOT_TABLE!H5:H18)</f>
        <v>110.99569999999886</v>
      </c>
      <c r="H7" s="24"/>
      <c r="I7" s="24"/>
      <c r="J7" s="24"/>
      <c r="K7" s="24"/>
      <c r="L7" s="24"/>
      <c r="N7" s="15">
        <f>AVERAGE(Orders!A2:A121)</f>
        <v>60.5</v>
      </c>
      <c r="O7" s="15"/>
      <c r="P7" s="15"/>
      <c r="R7" s="30"/>
      <c r="S7" s="30"/>
      <c r="T7" s="30"/>
      <c r="V7" s="17">
        <f>Orders!U123/Orders!R123</f>
        <v>4.6663314092967112E-3</v>
      </c>
      <c r="W7" s="17"/>
      <c r="X7" s="17"/>
    </row>
    <row r="8" spans="1:36" ht="21" x14ac:dyDescent="0.4">
      <c r="B8" s="27"/>
      <c r="C8" s="27"/>
      <c r="D8" s="27"/>
      <c r="E8" s="27"/>
      <c r="N8" s="15"/>
      <c r="O8" s="15"/>
      <c r="P8" s="15"/>
      <c r="R8" s="14">
        <f>COUNT(Orders!S2:S121)</f>
        <v>120</v>
      </c>
      <c r="S8" s="14"/>
      <c r="T8" s="14"/>
      <c r="V8" s="17"/>
      <c r="W8" s="17"/>
      <c r="X8" s="17"/>
    </row>
    <row r="9" spans="1:36" ht="27.6" customHeight="1" x14ac:dyDescent="0.3"/>
    <row r="12" spans="1:36" x14ac:dyDescent="0.3">
      <c r="N12" s="16"/>
      <c r="O12" s="16"/>
      <c r="P12" s="16"/>
      <c r="Q12" s="16"/>
      <c r="R12" s="16"/>
      <c r="S12" s="16"/>
      <c r="T12" s="16"/>
      <c r="U12" s="16"/>
      <c r="V12" s="16"/>
      <c r="W12" s="16"/>
      <c r="X12" s="16"/>
      <c r="Y12" s="16"/>
    </row>
    <row r="13" spans="1:36" x14ac:dyDescent="0.3">
      <c r="N13" s="16"/>
      <c r="O13" s="16"/>
      <c r="P13" s="16"/>
      <c r="Q13" s="16"/>
      <c r="R13" s="16"/>
      <c r="S13" s="16"/>
      <c r="T13" s="16"/>
      <c r="U13" s="16"/>
      <c r="V13" s="16"/>
      <c r="W13" s="16"/>
      <c r="X13" s="16"/>
      <c r="Y13" s="16"/>
    </row>
    <row r="14" spans="1:36" x14ac:dyDescent="0.3">
      <c r="N14" s="16"/>
      <c r="O14" s="16"/>
      <c r="P14" s="16"/>
      <c r="Q14" s="16"/>
      <c r="R14" s="16"/>
      <c r="S14" s="16"/>
      <c r="T14" s="16"/>
      <c r="U14" s="16"/>
      <c r="V14" s="16"/>
      <c r="W14" s="16"/>
      <c r="X14" s="16"/>
      <c r="Y14" s="16"/>
    </row>
    <row r="15" spans="1:36" x14ac:dyDescent="0.3">
      <c r="N15" s="16"/>
      <c r="O15" s="16"/>
      <c r="P15" s="16"/>
      <c r="Q15" s="16"/>
      <c r="R15" s="16"/>
      <c r="S15" s="16"/>
      <c r="T15" s="16"/>
      <c r="U15" s="16"/>
      <c r="V15" s="16"/>
      <c r="W15" s="16"/>
      <c r="X15" s="16"/>
      <c r="Y15" s="16"/>
    </row>
    <row r="16" spans="1:36" x14ac:dyDescent="0.3">
      <c r="B16" s="16"/>
      <c r="C16" s="16"/>
      <c r="D16" s="16"/>
      <c r="E16" s="16"/>
      <c r="F16" s="16"/>
      <c r="G16" s="16"/>
      <c r="H16" s="16"/>
      <c r="I16" s="16"/>
      <c r="J16" s="16"/>
      <c r="K16" s="16"/>
      <c r="L16" s="16"/>
      <c r="M16" s="16"/>
      <c r="N16" s="16"/>
      <c r="O16" s="16"/>
      <c r="P16" s="16"/>
      <c r="Q16" s="16"/>
      <c r="R16" s="16"/>
      <c r="S16" s="16"/>
      <c r="T16" s="16"/>
      <c r="U16" s="16"/>
      <c r="V16" s="16"/>
      <c r="W16" s="16"/>
      <c r="X16" s="16"/>
      <c r="Y16" s="16"/>
    </row>
    <row r="17" spans="2:25" x14ac:dyDescent="0.3">
      <c r="B17" s="16"/>
      <c r="C17" s="16"/>
      <c r="D17" s="16"/>
      <c r="E17" s="16"/>
      <c r="F17" s="16"/>
      <c r="G17" s="16"/>
      <c r="H17" s="16"/>
      <c r="I17" s="16"/>
      <c r="J17" s="16"/>
      <c r="K17" s="16"/>
      <c r="L17" s="16"/>
      <c r="M17" s="16"/>
      <c r="N17" s="16"/>
      <c r="O17" s="16"/>
      <c r="P17" s="16"/>
      <c r="Q17" s="16"/>
      <c r="R17" s="16"/>
      <c r="S17" s="16"/>
      <c r="T17" s="16"/>
      <c r="U17" s="16"/>
      <c r="V17" s="16"/>
      <c r="W17" s="16"/>
      <c r="X17" s="16"/>
      <c r="Y17" s="16"/>
    </row>
    <row r="18" spans="2:25" x14ac:dyDescent="0.3">
      <c r="B18" s="16"/>
      <c r="C18" s="16"/>
      <c r="D18" s="16"/>
      <c r="E18" s="16"/>
      <c r="F18" s="16"/>
      <c r="G18" s="16"/>
      <c r="H18" s="16"/>
      <c r="I18" s="16"/>
      <c r="J18" s="16"/>
      <c r="K18" s="16"/>
      <c r="L18" s="16"/>
      <c r="M18" s="16"/>
      <c r="N18" s="16"/>
      <c r="O18" s="16"/>
      <c r="P18" s="16"/>
      <c r="Q18" s="16"/>
      <c r="R18" s="16"/>
      <c r="S18" s="16"/>
      <c r="T18" s="16"/>
      <c r="U18" s="16"/>
      <c r="V18" s="16"/>
      <c r="W18" s="16"/>
      <c r="X18" s="16"/>
      <c r="Y18" s="16"/>
    </row>
    <row r="19" spans="2:25" x14ac:dyDescent="0.3">
      <c r="B19" s="16"/>
      <c r="C19" s="16"/>
      <c r="D19" s="16"/>
      <c r="E19" s="16"/>
      <c r="F19" s="16"/>
      <c r="G19" s="16"/>
      <c r="H19" s="16"/>
      <c r="I19" s="16"/>
      <c r="J19" s="16"/>
      <c r="K19" s="16"/>
      <c r="L19" s="16"/>
      <c r="M19" s="16"/>
      <c r="N19" s="16"/>
      <c r="O19" s="16"/>
      <c r="P19" s="16"/>
      <c r="Q19" s="16"/>
      <c r="R19" s="16"/>
      <c r="S19" s="16"/>
      <c r="T19" s="16"/>
      <c r="U19" s="16"/>
      <c r="V19" s="16"/>
      <c r="W19" s="16"/>
      <c r="X19" s="16"/>
      <c r="Y19" s="16"/>
    </row>
    <row r="20" spans="2:25" x14ac:dyDescent="0.3">
      <c r="B20" s="16"/>
      <c r="C20" s="16"/>
      <c r="D20" s="16"/>
      <c r="E20" s="16"/>
      <c r="F20" s="16"/>
      <c r="G20" s="16"/>
      <c r="H20" s="16"/>
      <c r="I20" s="16"/>
      <c r="J20" s="16"/>
      <c r="K20" s="16"/>
      <c r="L20" s="16"/>
      <c r="M20" s="16"/>
      <c r="N20" s="16"/>
      <c r="O20" s="16"/>
      <c r="P20" s="16"/>
      <c r="Q20" s="16"/>
      <c r="R20" s="16"/>
      <c r="S20" s="16"/>
      <c r="T20" s="16"/>
      <c r="U20" s="16"/>
      <c r="V20" s="16"/>
      <c r="W20" s="16"/>
      <c r="X20" s="16"/>
      <c r="Y20" s="16"/>
    </row>
    <row r="21" spans="2:25" x14ac:dyDescent="0.3">
      <c r="B21" s="16"/>
      <c r="C21" s="16"/>
      <c r="D21" s="16"/>
      <c r="E21" s="16"/>
      <c r="F21" s="16"/>
      <c r="G21" s="16"/>
      <c r="H21" s="16"/>
      <c r="I21" s="16"/>
      <c r="J21" s="16"/>
      <c r="K21" s="16"/>
      <c r="L21" s="16"/>
      <c r="M21" s="16"/>
      <c r="N21" s="16"/>
      <c r="O21" s="16"/>
      <c r="P21" s="16"/>
      <c r="Q21" s="16"/>
      <c r="R21" s="16"/>
      <c r="S21" s="16"/>
      <c r="T21" s="16"/>
      <c r="U21" s="16"/>
      <c r="V21" s="16"/>
      <c r="W21" s="16"/>
      <c r="X21" s="16"/>
      <c r="Y21" s="16"/>
    </row>
    <row r="22" spans="2:25" x14ac:dyDescent="0.3">
      <c r="B22" s="16"/>
      <c r="C22" s="16"/>
      <c r="D22" s="16"/>
      <c r="E22" s="16"/>
      <c r="F22" s="16"/>
      <c r="G22" s="16"/>
      <c r="H22" s="16"/>
      <c r="I22" s="16"/>
      <c r="J22" s="16"/>
      <c r="K22" s="16"/>
      <c r="L22" s="16"/>
      <c r="M22" s="16"/>
      <c r="N22" s="16"/>
      <c r="O22" s="16"/>
      <c r="P22" s="16"/>
      <c r="Q22" s="16"/>
      <c r="R22" s="16"/>
      <c r="S22" s="16"/>
      <c r="T22" s="16"/>
      <c r="U22" s="16"/>
      <c r="V22" s="16"/>
      <c r="W22" s="16"/>
      <c r="X22" s="16"/>
      <c r="Y22" s="16"/>
    </row>
    <row r="23" spans="2:25" x14ac:dyDescent="0.3">
      <c r="B23" s="16"/>
      <c r="C23" s="16"/>
      <c r="D23" s="16"/>
      <c r="E23" s="16"/>
      <c r="F23" s="16"/>
      <c r="G23" s="16"/>
      <c r="H23" s="16"/>
      <c r="I23" s="16"/>
      <c r="J23" s="16"/>
      <c r="K23" s="16"/>
      <c r="L23" s="16"/>
      <c r="M23" s="16"/>
      <c r="N23" s="16"/>
      <c r="O23" s="16"/>
      <c r="P23" s="16"/>
      <c r="Q23" s="16"/>
      <c r="R23" s="16"/>
      <c r="S23" s="16"/>
      <c r="T23" s="16"/>
      <c r="U23" s="16"/>
      <c r="V23" s="16"/>
      <c r="W23" s="16"/>
      <c r="X23" s="16"/>
      <c r="Y23" s="16"/>
    </row>
    <row r="24" spans="2:25" x14ac:dyDescent="0.3">
      <c r="B24" s="16"/>
      <c r="C24" s="16"/>
      <c r="D24" s="16"/>
      <c r="E24" s="16"/>
      <c r="F24" s="16"/>
      <c r="G24" s="16"/>
      <c r="H24" s="16"/>
      <c r="I24" s="16"/>
      <c r="J24" s="16"/>
      <c r="K24" s="16"/>
      <c r="L24" s="16"/>
      <c r="M24" s="16"/>
      <c r="N24" s="16"/>
      <c r="O24" s="16"/>
      <c r="P24" s="16"/>
      <c r="Q24" s="16"/>
      <c r="R24" s="16"/>
      <c r="S24" s="16"/>
      <c r="T24" s="16"/>
      <c r="U24" s="16"/>
      <c r="V24" s="16"/>
      <c r="W24" s="16"/>
      <c r="X24" s="16"/>
      <c r="Y24" s="16"/>
    </row>
    <row r="25" spans="2:25" x14ac:dyDescent="0.3">
      <c r="B25" s="16"/>
      <c r="C25" s="16"/>
      <c r="D25" s="16"/>
      <c r="E25" s="16"/>
      <c r="F25" s="16"/>
      <c r="G25" s="16"/>
      <c r="H25" s="16"/>
      <c r="I25" s="16"/>
      <c r="J25" s="16"/>
      <c r="K25" s="16"/>
      <c r="L25" s="16"/>
      <c r="M25" s="16"/>
      <c r="N25" s="16"/>
      <c r="O25" s="16"/>
      <c r="P25" s="16"/>
      <c r="Q25" s="16"/>
      <c r="R25" s="16"/>
      <c r="S25" s="16"/>
      <c r="T25" s="16"/>
      <c r="U25" s="16"/>
      <c r="V25" s="16"/>
      <c r="W25" s="16"/>
      <c r="X25" s="16"/>
      <c r="Y25" s="16"/>
    </row>
    <row r="26" spans="2:25" x14ac:dyDescent="0.3">
      <c r="B26" s="16"/>
      <c r="C26" s="16"/>
      <c r="D26" s="16"/>
      <c r="E26" s="16"/>
      <c r="F26" s="16"/>
      <c r="G26" s="16"/>
      <c r="H26" s="16"/>
      <c r="I26" s="16"/>
      <c r="J26" s="16"/>
      <c r="K26" s="16"/>
      <c r="L26" s="16"/>
      <c r="M26" s="16"/>
      <c r="N26" s="16"/>
      <c r="O26" s="16"/>
      <c r="P26" s="16"/>
      <c r="Q26" s="16"/>
      <c r="R26" s="16"/>
      <c r="S26" s="16"/>
      <c r="T26" s="16"/>
      <c r="U26" s="16"/>
      <c r="V26" s="16"/>
      <c r="W26" s="16"/>
      <c r="X26" s="16"/>
      <c r="Y26" s="16"/>
    </row>
    <row r="27" spans="2:25" x14ac:dyDescent="0.3">
      <c r="B27" s="16"/>
      <c r="C27" s="16"/>
      <c r="D27" s="16"/>
      <c r="E27" s="16"/>
      <c r="F27" s="16"/>
      <c r="G27" s="16"/>
      <c r="H27" s="16"/>
      <c r="I27" s="16"/>
      <c r="J27" s="16"/>
      <c r="K27" s="16"/>
      <c r="L27" s="16"/>
      <c r="M27" s="16"/>
      <c r="N27" s="16"/>
      <c r="O27" s="16"/>
      <c r="P27" s="16"/>
      <c r="Q27" s="16"/>
      <c r="R27" s="16"/>
      <c r="S27" s="16"/>
      <c r="T27" s="16"/>
      <c r="U27" s="16"/>
      <c r="V27" s="16"/>
      <c r="W27" s="16"/>
      <c r="X27" s="16"/>
      <c r="Y27" s="16"/>
    </row>
    <row r="28" spans="2:25" x14ac:dyDescent="0.3">
      <c r="B28" s="16"/>
      <c r="C28" s="16"/>
      <c r="D28" s="16"/>
      <c r="E28" s="16"/>
      <c r="F28" s="16"/>
      <c r="G28" s="16"/>
      <c r="H28" s="16"/>
      <c r="I28" s="16"/>
      <c r="J28" s="16"/>
      <c r="K28" s="16"/>
      <c r="L28" s="16"/>
      <c r="M28" s="16"/>
      <c r="N28" s="16"/>
      <c r="O28" s="16"/>
      <c r="P28" s="16"/>
      <c r="Q28" s="16"/>
      <c r="R28" s="16"/>
      <c r="S28" s="16"/>
      <c r="T28" s="16"/>
      <c r="U28" s="16"/>
      <c r="V28" s="16"/>
      <c r="W28" s="16"/>
      <c r="X28" s="16"/>
      <c r="Y28" s="16"/>
    </row>
    <row r="29" spans="2:25" x14ac:dyDescent="0.3">
      <c r="B29" s="16"/>
      <c r="C29" s="16"/>
      <c r="D29" s="16"/>
      <c r="E29" s="16"/>
      <c r="F29" s="16"/>
      <c r="G29" s="16"/>
      <c r="H29" s="16"/>
      <c r="I29" s="16"/>
      <c r="J29" s="16"/>
      <c r="K29" s="16"/>
      <c r="L29" s="16"/>
      <c r="M29" s="16"/>
      <c r="N29" s="16"/>
      <c r="O29" s="16"/>
      <c r="P29" s="16"/>
      <c r="Q29" s="16"/>
      <c r="R29" s="16"/>
      <c r="S29" s="16"/>
      <c r="T29" s="16"/>
      <c r="U29" s="16"/>
      <c r="V29" s="16"/>
      <c r="W29" s="16"/>
      <c r="X29" s="16"/>
      <c r="Y29" s="16"/>
    </row>
    <row r="30" spans="2:25" x14ac:dyDescent="0.3">
      <c r="B30" s="16"/>
      <c r="C30" s="16"/>
      <c r="D30" s="16"/>
      <c r="E30" s="16"/>
      <c r="F30" s="16"/>
      <c r="G30" s="16"/>
      <c r="H30" s="16"/>
      <c r="I30" s="16"/>
      <c r="J30" s="16"/>
      <c r="K30" s="16"/>
      <c r="L30" s="16"/>
      <c r="M30" s="16"/>
      <c r="N30" s="16"/>
      <c r="O30" s="16"/>
      <c r="P30" s="16"/>
      <c r="Q30" s="16"/>
      <c r="R30" s="16"/>
      <c r="S30" s="16"/>
      <c r="T30" s="16"/>
      <c r="U30" s="16"/>
      <c r="V30" s="16"/>
      <c r="W30" s="16"/>
      <c r="X30" s="16"/>
      <c r="Y30" s="16"/>
    </row>
    <row r="31" spans="2:25" x14ac:dyDescent="0.3">
      <c r="B31" s="16"/>
      <c r="C31" s="16"/>
      <c r="D31" s="16"/>
      <c r="E31" s="16"/>
      <c r="F31" s="16"/>
      <c r="G31" s="16"/>
      <c r="H31" s="16"/>
      <c r="I31" s="16"/>
      <c r="J31" s="16"/>
      <c r="K31" s="16"/>
      <c r="L31" s="16"/>
      <c r="M31" s="16"/>
      <c r="N31" s="16"/>
      <c r="O31" s="16"/>
      <c r="P31" s="16"/>
      <c r="Q31" s="16"/>
      <c r="R31" s="16"/>
      <c r="S31" s="16"/>
      <c r="T31" s="16"/>
      <c r="U31" s="16"/>
      <c r="V31" s="16"/>
      <c r="W31" s="16"/>
      <c r="X31" s="16"/>
      <c r="Y31" s="16"/>
    </row>
    <row r="32" spans="2:25" x14ac:dyDescent="0.3">
      <c r="B32" s="16"/>
      <c r="C32" s="16"/>
      <c r="D32" s="16"/>
      <c r="E32" s="16"/>
      <c r="F32" s="16"/>
      <c r="G32" s="16"/>
      <c r="H32" s="16"/>
      <c r="I32" s="16"/>
      <c r="J32" s="16"/>
      <c r="K32" s="16"/>
      <c r="L32" s="16"/>
      <c r="M32" s="16"/>
      <c r="N32" s="16"/>
      <c r="O32" s="16"/>
      <c r="P32" s="16"/>
      <c r="Q32" s="16"/>
      <c r="R32" s="16"/>
      <c r="S32" s="16"/>
      <c r="T32" s="16"/>
      <c r="U32" s="16"/>
      <c r="V32" s="16"/>
      <c r="W32" s="16"/>
      <c r="X32" s="16"/>
      <c r="Y32" s="16"/>
    </row>
    <row r="33" spans="2:46" x14ac:dyDescent="0.3">
      <c r="B33" s="16"/>
      <c r="C33" s="16"/>
      <c r="D33" s="16"/>
      <c r="E33" s="16"/>
      <c r="F33" s="16"/>
      <c r="G33" s="16"/>
      <c r="H33" s="16"/>
      <c r="I33" s="16"/>
      <c r="J33" s="16"/>
      <c r="K33" s="16"/>
      <c r="L33" s="16"/>
      <c r="M33" s="16"/>
      <c r="N33" s="16"/>
      <c r="O33" s="16"/>
      <c r="P33" s="16"/>
      <c r="Q33" s="16"/>
      <c r="R33" s="16"/>
      <c r="S33" s="16"/>
      <c r="T33" s="16"/>
      <c r="U33" s="16"/>
      <c r="V33" s="16"/>
      <c r="W33" s="16"/>
      <c r="X33" s="16"/>
      <c r="Y33" s="16"/>
    </row>
    <row r="34" spans="2:46" x14ac:dyDescent="0.3">
      <c r="B34" s="16"/>
      <c r="C34" s="16"/>
      <c r="D34" s="16"/>
      <c r="E34" s="16"/>
      <c r="F34" s="16"/>
      <c r="G34" s="16"/>
      <c r="H34" s="16"/>
      <c r="I34" s="16"/>
      <c r="J34" s="16"/>
      <c r="K34" s="16"/>
      <c r="L34" s="16"/>
      <c r="M34" s="16"/>
      <c r="N34" s="16"/>
      <c r="O34" s="16"/>
      <c r="P34" s="16"/>
      <c r="Q34" s="16"/>
      <c r="R34" s="16"/>
      <c r="S34" s="16"/>
      <c r="T34" s="16"/>
      <c r="U34" s="16"/>
      <c r="V34" s="16"/>
      <c r="W34" s="16"/>
      <c r="X34" s="16"/>
      <c r="Y34" s="16"/>
    </row>
    <row r="35" spans="2:46" ht="18" x14ac:dyDescent="0.35">
      <c r="B35" s="16"/>
      <c r="C35" s="16"/>
      <c r="D35" s="16"/>
      <c r="E35" s="16"/>
      <c r="F35" s="16"/>
      <c r="G35" s="16"/>
      <c r="H35" s="16"/>
      <c r="I35" s="16"/>
      <c r="J35" s="16"/>
      <c r="K35" s="16"/>
      <c r="L35" s="16"/>
      <c r="M35" s="16"/>
      <c r="N35" s="16"/>
      <c r="O35" s="16"/>
      <c r="P35" s="16"/>
      <c r="Q35" s="16"/>
      <c r="R35" s="16"/>
      <c r="S35" s="16"/>
      <c r="T35" s="16"/>
      <c r="U35" s="16"/>
      <c r="V35" s="16"/>
      <c r="W35" s="16"/>
      <c r="X35" s="16"/>
      <c r="Y35" s="16"/>
      <c r="AT35" s="23"/>
    </row>
    <row r="36" spans="2:46" x14ac:dyDescent="0.3">
      <c r="B36" s="22"/>
      <c r="C36" s="22"/>
      <c r="D36" s="22"/>
      <c r="E36" s="22"/>
      <c r="F36" s="22"/>
      <c r="G36" s="22"/>
      <c r="H36" s="22"/>
      <c r="I36" s="22"/>
      <c r="J36" s="22"/>
      <c r="K36" s="22"/>
      <c r="L36" s="22"/>
      <c r="N36" s="16"/>
      <c r="O36" s="16"/>
      <c r="P36" s="16"/>
      <c r="Q36" s="16"/>
      <c r="R36" s="16"/>
      <c r="S36" s="16"/>
      <c r="T36" s="16"/>
      <c r="U36" s="16"/>
      <c r="V36" s="16"/>
      <c r="W36" s="16"/>
      <c r="X36" s="16"/>
      <c r="Y36" s="16"/>
    </row>
  </sheetData>
  <mergeCells count="11">
    <mergeCell ref="A1:AJ4"/>
    <mergeCell ref="N6:P6"/>
    <mergeCell ref="R6:T7"/>
    <mergeCell ref="V6:X6"/>
    <mergeCell ref="N7:P8"/>
    <mergeCell ref="B6:E6"/>
    <mergeCell ref="R8:T8"/>
    <mergeCell ref="V7:X8"/>
    <mergeCell ref="G7:L7"/>
    <mergeCell ref="G6:L6"/>
    <mergeCell ref="B7:E8"/>
  </mergeCells>
  <pageMargins left="0.7" right="0.7" top="0.75" bottom="0.75" header="0.3" footer="0.3"/>
  <pageSetup paperSize="3"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Orders</vt:lpstr>
      <vt:lpstr>PIVOT_TABLE</vt:lpstr>
      <vt:lpstr>Build Dashboard Layout</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Nithish Kumar</cp:lastModifiedBy>
  <dcterms:created xsi:type="dcterms:W3CDTF">2014-11-07T23:43:06Z</dcterms:created>
  <dcterms:modified xsi:type="dcterms:W3CDTF">2026-02-05T14:42:22Z</dcterms:modified>
</cp:coreProperties>
</file>